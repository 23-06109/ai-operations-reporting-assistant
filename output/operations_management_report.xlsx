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eaff274c0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177c372a2443c3"/>
    <x:sheet xmlns:r="http://schemas.openxmlformats.org/officeDocument/2006/relationships" name="Visual Analysis" sheetId="2" r:id="Rad27eb626e6d492c"/>
    <x:sheet xmlns:r="http://schemas.openxmlformats.org/officeDocument/2006/relationships" name="Activity Data" sheetId="3" r:id="R3875176101ea49d6"/>
    <x:sheet xmlns:r="http://schemas.openxmlformats.org/officeDocument/2006/relationships" name="Exceptions" sheetId="4" r:id="R636b92b685bc47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.0%"/>
    <x:numFmt numFmtId="203" formatCode="0.0"/>
    <x:numFmt numFmtId="204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324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1"/>
      <x:color rgb="FF16324F"/>
      <x:name val="Carlito"/>
    </x:font>
    <x:font>
      <x:b/>
      <x:sz val="14"/>
      <x:color rgb="FF2563EB"/>
      <x:name val="Carlito"/>
    </x:font>
    <x:font>
      <x:b/>
      <x:sz val="14"/>
      <x:color rgb="FFB91C1C"/>
      <x:name val="Carlito"/>
    </x:font>
    <x:font>
      <x:b/>
      <x:sz val="11"/>
      <x:color rgb="FFB91C1C"/>
      <x:name val="Carlito"/>
    </x:font>
    <x:font>
      <x:b/>
      <x:sz val="11"/>
      <x:color rgb="FFD97706"/>
      <x:name val="Carlito"/>
    </x:font>
    <x:font>
      <x:b/>
      <x:sz val="11"/>
      <x:color rgb="FF0F766E"/>
      <x:name val="Carlito"/>
    </x:font>
    <x:font>
      <x:i/>
      <x:sz val="11"/>
      <x:color rgb="FF92400E"/>
      <x:name val="Carlito"/>
    </x:font>
    <x:font>
      <x:i/>
      <x:sz val="11"/>
      <x:color rgb="FF64748B"/>
      <x:name val="Carlito"/>
    </x:font>
    <x:font>
      <x:b/>
      <x:i/>
      <x:sz val="11"/>
      <x:color rgb="FF64748B"/>
      <x:name val="Carlito"/>
    </x:font>
    <x:font>
      <x:sz val="11"/>
      <x:color rgb="FF92400E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8F5"/>
      </x:patternFill>
    </x:fill>
    <x:fill>
      <x:patternFill patternType="solid">
        <x:fgColor rgb="FFB91C1C"/>
      </x:patternFill>
    </x:fill>
    <x:fill>
      <x:patternFill patternType="solid">
        <x:fgColor rgb="FFEAF2FF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7F6F3"/>
      </x:patternFill>
    </x:fill>
    <x:fill>
      <x:patternFill patternType="solid">
        <x:fgColor rgb="FFF1F5F9"/>
      </x:patternFill>
    </x:fill>
  </x:fills>
  <x:borders count="25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F1B5B5"/>
      </x:right>
      <x:bottom style="thin">
        <x:color rgb="FFF1B5B5"/>
      </x:bottom>
    </x:border>
    <x:border>
      <x:left style="thin">
        <x:color rgb="FFF1B5B5"/>
      </x:left>
      <x:bottom style="thin">
        <x:color rgb="FFF1B5B5"/>
      </x:bottom>
    </x:border>
    <x:border>
      <x:right style="thin">
        <x:color rgb="FFF1B5B5"/>
      </x:right>
      <x:top style="thin">
        <x:color rgb="FFF1B5B5"/>
      </x:top>
      <x:bottom style="thin">
        <x:color rgb="FFF1B5B5"/>
      </x:bottom>
    </x:border>
    <x:border>
      <x:left style="thin">
        <x:color rgb="FFF1B5B5"/>
      </x:left>
      <x:top style="thin">
        <x:color rgb="FFF1B5B5"/>
      </x:top>
      <x:bottom style="thin">
        <x:color rgb="FFF1B5B5"/>
      </x:bottom>
    </x:border>
    <x:border>
      <x:right style="thin">
        <x:color rgb="FFF1B5B5"/>
      </x:right>
      <x:top style="thin">
        <x:color rgb="FFF1B5B5"/>
      </x:top>
    </x:border>
    <x:border>
      <x:left style="thin">
        <x:color rgb="FFF1B5B5"/>
      </x:left>
      <x:top style="thin">
        <x:color rgb="FFF1B5B5"/>
      </x:top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5" fillId="5" borderId="1" xfId="0" applyNumberFormat="1" applyFont="1" applyFill="1" applyBorder="1"/>
    <x:xf numFmtId="0" fontId="5" fillId="5" borderId="3" xfId="0" applyNumberFormat="1" applyFont="1" applyFill="1" applyBorder="1"/>
    <x:xf numFmtId="0" fontId="5" fillId="5" borderId="5" xfId="0" applyNumberFormat="1" applyFont="1" applyFill="1" applyBorder="1"/>
    <x:xf numFmtId="0" fontId="5" fillId="6" borderId="7" xfId="0" applyNumberFormat="1" applyFont="1" applyFill="1" applyBorder="1"/>
    <x:xf numFmtId="0" fontId="5" fillId="6" borderId="9" xfId="0" applyNumberFormat="1" applyFont="1" applyFill="1" applyBorder="1"/>
    <x:xf numFmtId="0" fontId="5" fillId="6" borderId="11" xfId="0" applyNumberFormat="1" applyFont="1" applyFill="1" applyBorder="1"/>
    <x:xf numFmtId="0" fontId="6" fillId="5" borderId="2" xfId="0" applyNumberFormat="1" applyFont="1" applyFill="1" applyBorder="1"/>
    <x:xf numFmtId="0" fontId="6" fillId="5" borderId="4" xfId="0" applyNumberFormat="1" applyFont="1" applyFill="1" applyBorder="1"/>
    <x:xf numFmtId="0" fontId="6" fillId="5" borderId="6" xfId="0" applyNumberFormat="1" applyFont="1" applyFill="1" applyBorder="1"/>
    <x:xf numFmtId="0" fontId="7" fillId="6" borderId="8" xfId="0" applyNumberFormat="1" applyFont="1" applyFill="1" applyBorder="1"/>
    <x:xf numFmtId="0" fontId="7" fillId="6" borderId="10" xfId="0" applyNumberFormat="1" applyFont="1" applyFill="1" applyBorder="1"/>
    <x:xf numFmtId="0" fontId="7" fillId="6" borderId="12" xfId="0" applyNumberFormat="1" applyFont="1" applyFill="1" applyBorder="1"/>
    <x:xf numFmtId="201" fontId="6" fillId="5" borderId="2" xfId="0" applyNumberFormat="1" applyFont="1" applyFill="1" applyBorder="1"/>
    <x:xf numFmtId="201" fontId="6" fillId="5" borderId="4" xfId="0" applyNumberFormat="1" applyFont="1" applyFill="1" applyBorder="1"/>
    <x:xf numFmtId="202" fontId="6" fillId="5" borderId="4" xfId="0" applyNumberFormat="1" applyFont="1" applyFill="1" applyBorder="1"/>
    <x:xf numFmtId="202" fontId="6" fillId="5" borderId="6" xfId="0" applyNumberFormat="1" applyFont="1" applyFill="1" applyBorder="1"/>
    <x:xf numFmtId="201" fontId="7" fillId="6" borderId="8" xfId="0" applyNumberFormat="1" applyFont="1" applyFill="1" applyBorder="1"/>
    <x:xf numFmtId="201" fontId="7" fillId="6" borderId="10" xfId="0" applyNumberFormat="1" applyFont="1" applyFill="1" applyBorder="1"/>
    <x:xf numFmtId="203" fontId="7" fillId="6" borderId="12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0" fillId="7" borderId="3" xfId="0" applyNumberFormat="1" applyFont="1" applyFill="1" applyBorder="1"/>
    <x:xf numFmtId="0" fontId="9" fillId="7" borderId="3" xfId="0" applyNumberFormat="1" applyFont="1" applyFill="1" applyBorder="1"/>
    <x:xf numFmtId="0" fontId="0" fillId="8" borderId="5" xfId="0" applyNumberFormat="1" applyFont="1" applyFill="1" applyBorder="1"/>
    <x:xf numFmtId="0" fontId="10" fillId="8" borderId="5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1" fontId="0" fillId="0" borderId="13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13" fillId="2" borderId="0" xfId="0" applyNumberFormat="1" applyFont="1" applyFill="1" applyBorder="1"/>
    <x:xf numFmtId="0" fontId="12" fillId="0" borderId="13" xfId="0" applyNumberFormat="1" applyFont="1" applyFill="1" applyBorder="1"/>
    <x:xf numFmtId="0" fontId="12" fillId="0" borderId="14" xfId="0" applyNumberFormat="1" applyFont="1" applyFill="1" applyBorder="1"/>
    <x:xf numFmtId="0" fontId="12" fillId="0" borderId="15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5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9" borderId="0" xfId="0" applyNumberFormat="1" applyFont="1" applyFill="1" applyBorder="1"/>
    <x:xf numFmtId="0" fontId="4" fillId="2" borderId="16" xfId="0" applyNumberFormat="1" applyFont="1" applyFill="1" applyBorder="1" applyAlignment="1">
      <x:alignment wrapText="1"/>
    </x:xf>
    <x:xf numFmtId="0" fontId="4" fillId="2" borderId="17" xfId="0" applyNumberFormat="1" applyFont="1" applyFill="1" applyBorder="1" applyAlignment="1">
      <x:alignment wrapText="1"/>
    </x:xf>
    <x:xf numFmtId="0" fontId="4" fillId="2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200" fontId="0" fillId="0" borderId="20" xfId="0" applyNumberFormat="1" applyFont="1" applyFill="1" applyBorder="1"/>
    <x:xf numFmtId="204" fontId="0" fillId="0" borderId="20" xfId="0" applyNumberFormat="1" applyFont="1" applyFill="1" applyBorder="1"/>
    <x:xf numFmtId="204" fontId="0" fillId="9" borderId="20" xfId="0" applyNumberFormat="1" applyFont="1" applyFill="1" applyBorder="1"/>
    <x:xf numFmtId="0" fontId="0" fillId="9" borderId="20" xfId="0" applyNumberFormat="1" applyFont="1" applyFill="1" applyBorder="1"/>
    <x:xf numFmtId="0" fontId="0" fillId="9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4" fontId="0" fillId="0" borderId="23" xfId="0" applyNumberFormat="1" applyFont="1" applyFill="1" applyBorder="1"/>
    <x:xf numFmtId="204" fontId="0" fillId="9" borderId="23" xfId="0" applyNumberFormat="1" applyFont="1" applyFill="1" applyBorder="1"/>
    <x:xf numFmtId="0" fontId="0" fillId="9" borderId="23" xfId="0" applyNumberFormat="1" applyFont="1" applyFill="1" applyBorder="1"/>
    <x:xf numFmtId="0" fontId="0" fillId="9" borderId="24" xfId="0" applyNumberFormat="1" applyFont="1" applyFill="1" applyBorder="1"/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5d7389bc24d5f" /><Relationship Type="http://schemas.openxmlformats.org/officeDocument/2006/relationships/theme" Target="/xl/theme/theme1.xml" Id="R9a1339fe85ef4f2b" /><Relationship Type="http://schemas.openxmlformats.org/officeDocument/2006/relationships/sharedStrings" Target="/xl/sharedStrings.xml" Id="Rab93a3f90c7b46e0" /><Relationship Type="http://schemas.openxmlformats.org/officeDocument/2006/relationships/worksheet" Target="/xl/worksheets/sheet1.xml" Id="Rc5177c372a2443c3" /><Relationship Type="http://schemas.openxmlformats.org/officeDocument/2006/relationships/worksheet" Target="/xl/worksheets/sheet2.xml" Id="Rad27eb626e6d492c" /><Relationship Type="http://schemas.openxmlformats.org/officeDocument/2006/relationships/worksheet" Target="/xl/worksheets/sheet3.xml" Id="R3875176101ea49d6" /><Relationship Type="http://schemas.openxmlformats.org/officeDocument/2006/relationships/worksheet" Target="/xl/worksheets/sheet4.xml" Id="R636b92b685bc47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12050b7802448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c5bb9ed2e644afb" /><Relationship Type="http://schemas.openxmlformats.org/officeDocument/2006/relationships/chart" Target="/xl/drawings/charts/chart3.xml" Id="Rddd248e8627f4ce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Activities by Exception Level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Activities</c:v>
          </c:tx>
          <c:cat>
            <c:strRef>
              <c:f>'Summary'!$G$4:$G$6</c:f>
              <c:strCache>
                <c:ptCount val="0"/>
              </c:strCache>
            </c:strRef>
          </c:cat>
          <c:val>
            <c:numRef>
              <c:f>'Summary'!$H$4:$H$6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Construction Has the Highest Exception Volume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Critical</c:v>
          </c:tx>
          <c:cat>
            <c:strRef>
              <c:f>'Visual Analysis'!$A$5:$A$9</c:f>
              <c:strCache>
                <c:ptCount val="0"/>
              </c:strCache>
            </c:strRef>
          </c:cat>
          <c:val>
            <c:numRef>
              <c:f>'Visual Analysis'!$B$5:$B$9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Warning</c:v>
          </c:tx>
          <c:cat>
            <c:strRef>
              <c:f>'Visual Analysis'!$A$5:$A$9</c:f>
              <c:strCache>
                <c:ptCount val="0"/>
              </c:strCache>
            </c:strRef>
          </c:cat>
          <c:val>
            <c:numRef>
              <c:f>'Visual Analysis'!$C$5:$C$9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Missing Issue Classification Is the Largest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Exceptions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'Visual Analysis'!$A$21:$A$27</c:f>
              <c:strCache>
                <c:ptCount val="0"/>
              </c:strCache>
            </c:strRef>
          </c:cat>
          <c:val>
            <c:numRef>
              <c:f>'Visual Analysis'!$C$21:$C$27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12050b7802448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5bb9ed2e644afb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d248e8627f4ce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ityAnalysisTable" displayName="ActivityAnalysisTable" ref="A4:R304" headerRowCount="1" totalsRowCount="0" totalsRowShown="0">
  <x:tableColumns count="18">
    <x:tableColumn id="1" name="Activity_ID"/>
    <x:tableColumn id="2" name="Department"/>
    <x:tableColumn id="3" name="Responsible_Team"/>
    <x:tableColumn id="4" name="Activity_Type"/>
    <x:tableColumn id="5" name="Planned_Start"/>
    <x:tableColumn id="6" name="Planned_Finish"/>
    <x:tableColumn id="7" name="Actual_Finish"/>
    <x:tableColumn id="8" name="Status"/>
    <x:tableColumn id="9" name="Priority"/>
    <x:tableColumn id="10" name="Progress_Pct"/>
    <x:tableColumn id="11" name="Issue_Type"/>
    <x:tableColumn id="12" name="Last_Update_Date"/>
    <x:tableColumn id="13" name="Owner"/>
    <x:tableColumn id="14" name="Days_Overdue"/>
    <x:tableColumn id="15" name="Update_Age_Days"/>
    <x:tableColumn id="16" name="Schedule_Variance_Days"/>
    <x:tableColumn id="17" name="Exception_Level"/>
    <x:tableColumn id="18" name="Exception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agementExceptionsTable" displayName="ManagementExceptionsTable" ref="A4:O86" headerRowCount="1" totalsRowCount="0" totalsRowShown="0">
  <x:tableColumns count="15">
    <x:tableColumn id="1" name="Activity_ID"/>
    <x:tableColumn id="2" name="Department"/>
    <x:tableColumn id="3" name="Responsible_Team"/>
    <x:tableColumn id="4" name="Activity_Type"/>
    <x:tableColumn id="5" name="Status"/>
    <x:tableColumn id="6" name="Priority"/>
    <x:tableColumn id="7" name="Progress_Pct"/>
    <x:tableColumn id="8" name="Planned_Finish"/>
    <x:tableColumn id="9" name="Days_Overdue"/>
    <x:tableColumn id="10" name="Last_Update_Date"/>
    <x:tableColumn id="11" name="Update_Age_Days"/>
    <x:tableColumn id="12" name="Issue_Type"/>
    <x:tableColumn id="13" name="Owner"/>
    <x:tableColumn id="14" name="Exception_Level"/>
    <x:tableColumn id="15" name="Exception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30002f6aeb4d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1a20454b54e4a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d2306e76ef140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2c61eece7b247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25" hidden="0" customWidth="1"/>
    <x:col min="5" max="5" width="15" hidden="0" customWidth="1"/>
    <x:col min="6" max="6" width="15" hidden="0" customWidth="1"/>
    <x:col min="7" max="7" width="20" hidden="0" customWidth="1"/>
    <x:col min="8" max="8" width="14" hidden="0" customWidth="1"/>
  </x:cols>
  <x:sheetData>
    <x:row r="1" ht="34" customHeight="1">
      <x:c r="A1" s="3" t="str">
        <x:v>AI-Powered Operations Reporting Assistant</x:v>
      </x:c>
      <x:c r="B1" s="3"/>
      <x:c r="C1" s="3"/>
      <x:c r="D1" s="3"/>
      <x:c r="E1" s="3"/>
      <x:c r="F1" s="3"/>
      <x:c r="G1" s="3"/>
      <x:c r="H1" s="3"/>
    </x:row>
    <x:row r="2">
      <x:c r="A2" s="5" t="str">
        <x:v>Phase 2 Management Report | Deterministic analytics from synthetic operational data</x:v>
      </x:c>
      <x:c r="B2" s="5"/>
      <x:c r="C2" s="5"/>
      <x:c r="D2" s="5"/>
      <x:c r="E2" s="5"/>
      <x:c r="F2" s="5"/>
      <x:c r="G2" s="5"/>
      <x:c r="H2" s="5"/>
    </x:row>
    <x:row r="3">
      <x:c r="A3" s="7" t="str">
        <x:v>Reporting snapshot</x:v>
      </x:c>
      <x:c r="B3" s="8" t="n">
        <x:v>46266</x:v>
      </x:c>
      <x:c r="G3" s="9" t="str">
        <x:v>Exception Level</x:v>
      </x:c>
      <x:c r="H3" s="9" t="str">
        <x:v>Activities</x:v>
      </x:c>
    </x:row>
    <x:row r="4">
      <x:c r="G4" s="55" t="str">
        <x:v>Critical</x:v>
      </x:c>
      <x:c r="H4" s="51" t="n">
        <x:f>COUNTIF('Activity Data'!$Q$5:$Q$304,G4)</x:f>
        <x:v>34</x:v>
      </x:c>
    </x:row>
    <x:row r="5">
      <x:c r="A5" s="9" t="str">
        <x:v>Delivery Overview</x:v>
      </x:c>
      <x:c r="B5" s="9"/>
      <x:c r="D5" s="11" t="str">
        <x:v>Management Attention</x:v>
      </x:c>
      <x:c r="E5" s="11"/>
      <x:c r="G5" s="57" t="str">
        <x:v>Warning</x:v>
      </x:c>
      <x:c r="H5" s="52" t="n">
        <x:f>COUNTIF('Activity Data'!$Q$5:$Q$304,G5)</x:f>
        <x:v>48</x:v>
      </x:c>
    </x:row>
    <x:row r="6">
      <x:c r="A6" s="26" t="str">
        <x:v>Total Activities</x:v>
      </x:c>
      <x:c r="B6" s="38" t="n">
        <x:f>COUNTA('Activity Data'!$A$5:$A$304)</x:f>
        <x:v>300</x:v>
      </x:c>
      <x:c r="D6" s="29" t="str">
        <x:v>Overdue Open</x:v>
      </x:c>
      <x:c r="E6" s="42" t="n">
        <x:f>COUNTIFS('Activity Data'!$H$5:$H$304,"&lt;&gt;Completed",'Activity Data'!$N$5:$N$304,"&gt;0")</x:f>
        <x:v>77</x:v>
      </x:c>
      <x:c r="G6" s="59" t="str">
        <x:v>Normal</x:v>
      </x:c>
      <x:c r="H6" s="53" t="n">
        <x:f>COUNTIF('Activity Data'!$Q$5:$Q$304,G6)</x:f>
        <x:v>218</x:v>
      </x:c>
    </x:row>
    <x:row r="7">
      <x:c r="A7" s="27" t="str">
        <x:v>Completed Activities</x:v>
      </x:c>
      <x:c r="B7" s="39" t="n">
        <x:f>COUNTIF('Activity Data'!$H$5:$H$304,"Completed")</x:f>
        <x:v>175</x:v>
      </x:c>
      <x:c r="D7" s="30" t="str">
        <x:v>High-Priority Overdue</x:v>
      </x:c>
      <x:c r="E7" s="43" t="n">
        <x:f>COUNTIFS('Activity Data'!$H$5:$H$304,"&lt;&gt;Completed",'Activity Data'!$I$5:$I$304,"High",'Activity Data'!$N$5:$N$304,"&gt;0")</x:f>
        <x:v>17</x:v>
      </x:c>
    </x:row>
    <x:row r="8">
      <x:c r="A8" s="27" t="str">
        <x:v>Completion Rate</x:v>
      </x:c>
      <x:c r="B8" s="40" t="n">
        <x:f>IF(B6=0,0,B7/B6)</x:f>
        <x:v>0.5833333333333334</x:v>
      </x:c>
      <x:c r="D8" s="30" t="str">
        <x:v>Stale Open Updates</x:v>
      </x:c>
      <x:c r="E8" s="43" t="n">
        <x:f>COUNTIFS('Activity Data'!$H$5:$H$304,"&lt;&gt;Completed",'Activity Data'!$O$5:$O$304,"&gt;7")</x:f>
        <x:v>69</x:v>
      </x:c>
    </x:row>
    <x:row r="9">
      <x:c r="A9" s="28" t="str">
        <x:v>Average Progress</x:v>
      </x:c>
      <x:c r="B9" s="41" t="n">
        <x:f>AVERAGE('Activity Data'!$J$5:$J$304)/100</x:f>
        <x:v>0.7911666666666666</x:v>
      </x:c>
      <x:c r="D9" s="31" t="str">
        <x:v>Avg. Completed Variance</x:v>
      </x:c>
      <x:c r="E9" s="44" t="n">
        <x:f>AVERAGEIF('Activity Data'!$H$5:$H$304,"Completed",'Activity Data'!$P$5:$P$304)</x:f>
        <x:v>4.217142857142857</x:v>
      </x:c>
    </x:row>
    <x:row r="29">
      <x:c r="A29" s="62" t="str">
        <x:v>Interpretation: 82 activities require management attention. Review Critical items first, then Warning items.</x:v>
      </x:c>
      <x:c r="B29" s="62"/>
      <x:c r="C29" s="62"/>
      <x:c r="D29" s="62"/>
      <x:c r="E29" s="62"/>
      <x:c r="F29" s="62"/>
      <x:c r="G29" s="62"/>
      <x:c r="H29" s="62"/>
    </x:row>
    <x:row r="30">
      <x:c r="A30" s="64" t="str">
        <x:v>All figures are calculated deterministically. AI narrative is intentionally excluded from Phase 2.</x:v>
      </x:c>
      <x:c r="B30" s="64"/>
      <x:c r="C30" s="64"/>
      <x:c r="D30" s="64"/>
      <x:c r="E30" s="64"/>
      <x:c r="F30" s="64"/>
      <x:c r="G30" s="64"/>
      <x:c r="H30" s="64"/>
    </x:row>
  </x:sheetData>
  <x:mergeCells>
    <x:mergeCell ref="A1:H1"/>
    <x:mergeCell ref="A2:H2"/>
    <x:mergeCell ref="A5:B5"/>
    <x:mergeCell ref="D5:E5"/>
    <x:mergeCell ref="A29:H29"/>
    <x:mergeCell ref="A30:H30"/>
  </x:mergeCells>
  <x:pageMargins left="0.7" right="0.7" top="0.75" bottom="0.75" header="0.3" footer="0.3"/>
  <x:drawing xmlns:r="http://schemas.openxmlformats.org/officeDocument/2006/relationships" r:id="R6230002f6aeb4de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1" max="1" width="22" hidden="0" customWidth="1"/>
    <x:col min="3" max="3" width="12" hidden="0" customWidth="1"/>
    <x:col min="4" max="4" width="12" hidden="0" customWidth="1"/>
    <x:col min="5" max="5" width="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2" t="str">
        <x:v>Exception Concentration Analysis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5" t="str">
        <x:v>Phase 3 | Where management attention is concentrated by department and issue type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9" t="str">
        <x:v>Department</x:v>
      </x:c>
      <x:c r="B4" s="9" t="str">
        <x:v>Critical</x:v>
      </x:c>
      <x:c r="C4" s="9" t="str">
        <x:v>Warning</x:v>
      </x:c>
      <x:c r="D4" s="9" t="str">
        <x:v>Total</x:v>
      </x:c>
    </x:row>
    <x:row r="5">
      <x:c r="A5" s="45" t="str">
        <x:v>Construction</x:v>
      </x:c>
      <x:c r="B5" s="68" t="n">
        <x:f>COUNTIFS('Activity Data'!$B$5:$B$304,$A5,'Activity Data'!$Q$5:$Q$304,B$4)</x:f>
        <x:v>10</x:v>
      </x:c>
      <x:c r="C5" s="68" t="n">
        <x:f>COUNTIFS('Activity Data'!$B$5:$B$304,$A5,'Activity Data'!$Q$5:$Q$304,C$4)</x:f>
        <x:v>13</x:v>
      </x:c>
      <x:c r="D5" s="51" t="n">
        <x:f>SUM(B5:C5)</x:f>
        <x:v>23</x:v>
      </x:c>
    </x:row>
    <x:row r="6">
      <x:c r="A6" s="47" t="str">
        <x:v>Engineering</x:v>
      </x:c>
      <x:c r="B6" s="69" t="n">
        <x:f>COUNTIFS('Activity Data'!$B$5:$B$304,$A6,'Activity Data'!$Q$5:$Q$304,B$4)</x:f>
        <x:v>8</x:v>
      </x:c>
      <x:c r="C6" s="69" t="n">
        <x:f>COUNTIFS('Activity Data'!$B$5:$B$304,$A6,'Activity Data'!$Q$5:$Q$304,C$4)</x:f>
        <x:v>11</x:v>
      </x:c>
      <x:c r="D6" s="52" t="n">
        <x:f>SUM(B6:C6)</x:f>
        <x:v>19</x:v>
      </x:c>
    </x:row>
    <x:row r="7">
      <x:c r="A7" s="47" t="str">
        <x:v>QA/QC</x:v>
      </x:c>
      <x:c r="B7" s="69" t="n">
        <x:f>COUNTIFS('Activity Data'!$B$5:$B$304,$A7,'Activity Data'!$Q$5:$Q$304,B$4)</x:f>
        <x:v>7</x:v>
      </x:c>
      <x:c r="C7" s="69" t="n">
        <x:f>COUNTIFS('Activity Data'!$B$5:$B$304,$A7,'Activity Data'!$Q$5:$Q$304,C$4)</x:f>
        <x:v>11</x:v>
      </x:c>
      <x:c r="D7" s="52" t="n">
        <x:f>SUM(B7:C7)</x:f>
        <x:v>18</x:v>
      </x:c>
    </x:row>
    <x:row r="8">
      <x:c r="A8" s="47" t="str">
        <x:v>Procurement</x:v>
      </x:c>
      <x:c r="B8" s="69" t="n">
        <x:f>COUNTIFS('Activity Data'!$B$5:$B$304,$A8,'Activity Data'!$Q$5:$Q$304,B$4)</x:f>
        <x:v>5</x:v>
      </x:c>
      <x:c r="C8" s="69" t="n">
        <x:f>COUNTIFS('Activity Data'!$B$5:$B$304,$A8,'Activity Data'!$Q$5:$Q$304,C$4)</x:f>
        <x:v>11</x:v>
      </x:c>
      <x:c r="D8" s="52" t="n">
        <x:f>SUM(B8:C8)</x:f>
        <x:v>16</x:v>
      </x:c>
    </x:row>
    <x:row r="9">
      <x:c r="A9" s="49" t="str">
        <x:v>Project Controls</x:v>
      </x:c>
      <x:c r="B9" s="70" t="n">
        <x:f>COUNTIFS('Activity Data'!$B$5:$B$304,$A9,'Activity Data'!$Q$5:$Q$304,B$4)</x:f>
        <x:v>4</x:v>
      </x:c>
      <x:c r="C9" s="70" t="n">
        <x:f>COUNTIFS('Activity Data'!$B$5:$B$304,$A9,'Activity Data'!$Q$5:$Q$304,C$4)</x:f>
        <x:v>2</x:v>
      </x:c>
      <x:c r="D9" s="53" t="n">
        <x:f>SUM(B9:C9)</x:f>
        <x:v>6</x:v>
      </x:c>
    </x:row>
    <x:row r="20">
      <x:c r="A20" s="9" t="str">
        <x:v>Issue Type</x:v>
      </x:c>
      <x:c r="B20" s="71" t="str">
        <x:v>Source Value</x:v>
      </x:c>
      <x:c r="C20" s="9" t="str">
        <x:v>Exceptions</x:v>
      </x:c>
    </x:row>
    <x:row r="21">
      <x:c r="A21" s="45" t="str">
        <x:v>No Issue Recorded</x:v>
      </x:c>
      <x:c r="B21" s="72" t="str">
        <x:v>None</x:v>
      </x:c>
      <x:c r="C21" s="51" t="n">
        <x:f>COUNTIFS('Activity Data'!$K$5:$K$304,$B21,'Activity Data'!$Q$5:$Q$304,"&lt;&gt;Normal")</x:f>
        <x:v>23</x:v>
      </x:c>
    </x:row>
    <x:row r="22">
      <x:c r="A22" s="47" t="str">
        <x:v>Material Delay</x:v>
      </x:c>
      <x:c r="B22" s="73" t="str">
        <x:v>Material Delay</x:v>
      </x:c>
      <x:c r="C22" s="52" t="n">
        <x:f>COUNTIFS('Activity Data'!$K$5:$K$304,$B22,'Activity Data'!$Q$5:$Q$304,"&lt;&gt;Normal")</x:f>
        <x:v>15</x:v>
      </x:c>
    </x:row>
    <x:row r="23">
      <x:c r="A23" s="47" t="str">
        <x:v>Approval Delay</x:v>
      </x:c>
      <x:c r="B23" s="73" t="str">
        <x:v>Approval Delay</x:v>
      </x:c>
      <x:c r="C23" s="52" t="n">
        <x:f>COUNTIFS('Activity Data'!$K$5:$K$304,$B23,'Activity Data'!$Q$5:$Q$304,"&lt;&gt;Normal")</x:f>
        <x:v>12</x:v>
      </x:c>
    </x:row>
    <x:row r="24">
      <x:c r="A24" s="47" t="str">
        <x:v>Documentation</x:v>
      </x:c>
      <x:c r="B24" s="73" t="str">
        <x:v>Documentation</x:v>
      </x:c>
      <x:c r="C24" s="52" t="n">
        <x:f>COUNTIFS('Activity Data'!$K$5:$K$304,$B24,'Activity Data'!$Q$5:$Q$304,"&lt;&gt;Normal")</x:f>
        <x:v>10</x:v>
      </x:c>
    </x:row>
    <x:row r="25">
      <x:c r="A25" s="47" t="str">
        <x:v>Rework</x:v>
      </x:c>
      <x:c r="B25" s="73" t="str">
        <x:v>Rework</x:v>
      </x:c>
      <x:c r="C25" s="52" t="n">
        <x:f>COUNTIFS('Activity Data'!$K$5:$K$304,$B25,'Activity Data'!$Q$5:$Q$304,"&lt;&gt;Normal")</x:f>
        <x:v>9</x:v>
      </x:c>
    </x:row>
    <x:row r="26">
      <x:c r="A26" s="47" t="str">
        <x:v>Access Constraint</x:v>
      </x:c>
      <x:c r="B26" s="73" t="str">
        <x:v>Access Constraint</x:v>
      </x:c>
      <x:c r="C26" s="52" t="n">
        <x:f>COUNTIFS('Activity Data'!$K$5:$K$304,$B26,'Activity Data'!$Q$5:$Q$304,"&lt;&gt;Normal")</x:f>
        <x:v>7</x:v>
      </x:c>
    </x:row>
    <x:row r="27">
      <x:c r="A27" s="49" t="str">
        <x:v>Manpower</x:v>
      </x:c>
      <x:c r="B27" s="74" t="str">
        <x:v>Manpower</x:v>
      </x:c>
      <x:c r="C27" s="53" t="n">
        <x:f>COUNTIFS('Activity Data'!$K$5:$K$304,$B27,'Activity Data'!$Q$5:$Q$304,"&lt;&gt;Normal")</x:f>
        <x:v>6</x:v>
      </x:c>
    </x:row>
    <x:row r="36">
      <x:c r="A36" s="9" t="str">
        <x:v>Management Interpretation</x:v>
      </x:c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  <x:c r="N36" s="9"/>
    </x:row>
    <x:row r="37">
      <x:c r="A37" s="76" t="str">
        <x:f>"Construction has "&amp;D5&amp;" exceptions, the highest departmental concentration."</x:f>
        <x:v>Construction has 23 exceptions, the highest departmental concentration.</x:v>
      </x:c>
      <x:c r="B37" s="76"/>
      <x:c r="C37" s="76"/>
      <x:c r="D37" s="76"/>
      <x:c r="E37" s="76"/>
      <x:c r="F37" s="76"/>
      <x:c r="G37" s="76"/>
      <x:c r="H37" s="76"/>
      <x:c r="I37" s="76"/>
      <x:c r="J37" s="76"/>
      <x:c r="K37" s="76"/>
      <x:c r="L37" s="76"/>
      <x:c r="M37" s="76"/>
      <x:c r="N37" s="76"/>
    </x:row>
    <x:row r="38">
      <x:c r="A38" s="76" t="str">
        <x:f>C21&amp;" exception records have no specific issue type, indicating a data-quality and root-cause tracking gap."</x:f>
        <x:v>23 exception records have no specific issue type, indicating a data-quality and root-cause tracking gap.</x:v>
      </x:c>
      <x:c r="B38" s="76"/>
      <x:c r="C38" s="76"/>
      <x:c r="D38" s="76"/>
      <x:c r="E38" s="76"/>
      <x:c r="F38" s="76"/>
      <x:c r="G38" s="76"/>
      <x:c r="H38" s="76"/>
      <x:c r="I38" s="76"/>
      <x:c r="J38" s="76"/>
      <x:c r="K38" s="76"/>
      <x:c r="L38" s="76"/>
      <x:c r="M38" s="76"/>
      <x:c r="N38" s="76"/>
    </x:row>
    <x:row r="39">
      <x:c r="A39" s="76" t="str">
        <x:v>Recommended response: prioritize Critical items, focus follow-up on the highest-volume departments, and improve issue classification completeness.</x:v>
      </x:c>
      <x:c r="B39" s="76"/>
      <x:c r="C39" s="76"/>
      <x:c r="D39" s="76"/>
      <x:c r="E39" s="76"/>
      <x:c r="F39" s="76"/>
      <x:c r="G39" s="76"/>
      <x:c r="H39" s="76"/>
      <x:c r="I39" s="76"/>
      <x:c r="J39" s="76"/>
      <x:c r="K39" s="76"/>
      <x:c r="L39" s="76"/>
      <x:c r="M39" s="76"/>
      <x:c r="N39" s="76"/>
    </x:row>
  </x:sheetData>
  <x:mergeCells>
    <x:mergeCell ref="A1:N1"/>
    <x:mergeCell ref="A2:N2"/>
    <x:mergeCell ref="A36:N36"/>
    <x:mergeCell ref="A37:N37"/>
    <x:mergeCell ref="A38:N38"/>
    <x:mergeCell ref="A39:N39"/>
  </x:mergeCells>
  <x:conditionalFormatting sqref="D5:D9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{D3937EC7-7033-3601-E2AF-ED49ED2972C2}</x14:id>
        </x:ext>
      </x:extLst>
    </x:cfRule>
  </x:conditionalFormatting>
  <x:conditionalFormatting sqref="C21:C27">
    <x:cfRule type="dataBar" priority="2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{D7165F72-62B8-C879-6617-5C703FA162B0}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1a20454b54e4a8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3937EC7-7033-3601-E2AF-ED49ED2972C2}">
            <x14:dataBar gradient="1">
              <x14:cfvo type="min"/>
              <x14:cfvo type="max"/>
              <x14:fillColor rgb="FF2563EB"/>
            </x14:dataBar>
          </x14:cfRule>
          <xm:sqref>D5:D9</xm:sqref>
        </x14:conditionalFormatting>
        <x14:conditionalFormatting>
          <x14:cfRule type="dataBar" priority="2" id="{D7165F72-62B8-C879-6617-5C703FA162B0}">
            <x14:dataBar gradient="1">
              <x14:cfvo type="min"/>
              <x14:cfvo type="max"/>
              <x14:fillColor rgb="FF0F766E"/>
            </x14:dataBar>
          </x14:cfRule>
          <xm:sqref>C21:C27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8" hidden="0" customWidth="1"/>
    <x:col min="12" max="12" width="13" hidden="0" customWidth="1"/>
    <x:col min="13" max="13" width="15" hidden="0" customWidth="1"/>
    <x:col min="14" max="14" width="13" hidden="0" customWidth="1"/>
    <x:col min="15" max="15" width="13" hidden="0" customWidth="1"/>
    <x:col min="16" max="16" width="13" hidden="0" customWidth="1"/>
    <x:col min="17" max="17" width="15" hidden="0" customWidth="1"/>
    <x:col min="18" max="18" width="45" hidden="0" customWidth="1"/>
  </x:cols>
  <x:sheetData>
    <x:row r="1">
      <x:c r="A1" s="77" t="str">
        <x:v>Activity-Level Analysis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</x:row>
    <x:row r="2">
      <x:c r="A2" s="5" t="str">
        <x:v>Blue columns are source fields; shaded columns are deterministic calculations using the reporting snapshot on Summary!B3.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4" ht="34" customHeight="1">
      <x:c r="A4" s="81" t="str">
        <x:v>Activity_ID</x:v>
      </x:c>
      <x:c r="B4" s="82" t="str">
        <x:v>Department</x:v>
      </x:c>
      <x:c r="C4" s="82" t="str">
        <x:v>Responsible_Team</x:v>
      </x:c>
      <x:c r="D4" s="82" t="str">
        <x:v>Activity_Type</x:v>
      </x:c>
      <x:c r="E4" s="82" t="str">
        <x:v>Planned_Start</x:v>
      </x:c>
      <x:c r="F4" s="82" t="str">
        <x:v>Planned_Finish</x:v>
      </x:c>
      <x:c r="G4" s="82" t="str">
        <x:v>Actual_Finish</x:v>
      </x:c>
      <x:c r="H4" s="82" t="str">
        <x:v>Status</x:v>
      </x:c>
      <x:c r="I4" s="82" t="str">
        <x:v>Priority</x:v>
      </x:c>
      <x:c r="J4" s="82" t="str">
        <x:v>Progress_Pct</x:v>
      </x:c>
      <x:c r="K4" s="82" t="str">
        <x:v>Issue_Type</x:v>
      </x:c>
      <x:c r="L4" s="82" t="str">
        <x:v>Last_Update_Date</x:v>
      </x:c>
      <x:c r="M4" s="82" t="str">
        <x:v>Owner</x:v>
      </x:c>
      <x:c r="N4" s="82" t="str">
        <x:v>Days_Overdue</x:v>
      </x:c>
      <x:c r="O4" s="82" t="str">
        <x:v>Update_Age_Days</x:v>
      </x:c>
      <x:c r="P4" s="82" t="str">
        <x:v>Schedule_Variance_Days</x:v>
      </x:c>
      <x:c r="Q4" s="82" t="str">
        <x:v>Exception_Level</x:v>
      </x:c>
      <x:c r="R4" s="83" t="str">
        <x:v>Exception_Reason</x:v>
      </x:c>
    </x:row>
    <x:row r="5">
      <x:c r="A5" s="84" t="str">
        <x:v>ACT-0001</x:v>
      </x:c>
      <x:c r="B5" s="85" t="str">
        <x:v>Construction</x:v>
      </x:c>
      <x:c r="C5" s="85" t="str">
        <x:v>CONST-A</x:v>
      </x:c>
      <x:c r="D5" s="85" t="str">
        <x:v>Progress Update</x:v>
      </x:c>
      <x:c r="E5" s="86" t="n">
        <x:v>46205</x:v>
      </x:c>
      <x:c r="F5" s="86" t="n">
        <x:v>46215</x:v>
      </x:c>
      <x:c r="G5" s="86" t="n">
        <x:v>46227</x:v>
      </x:c>
      <x:c r="H5" s="85" t="str">
        <x:v>Completed</x:v>
      </x:c>
      <x:c r="I5" s="85" t="str">
        <x:v>High</x:v>
      </x:c>
      <x:c r="J5" s="87" t="n">
        <x:v>100</x:v>
      </x:c>
      <x:c r="K5" s="85" t="str">
        <x:v>Approval Delay</x:v>
      </x:c>
      <x:c r="L5" s="86" t="n">
        <x:v>46227</x:v>
      </x:c>
      <x:c r="M5" s="85" t="str">
        <x:v>Team Lead A</x:v>
      </x:c>
      <x:c r="N5" s="88" t="n">
        <x:f>IF(AND(H5&lt;&gt;"Completed",F5&lt;'Summary'!$B$3),'Summary'!$B$3-F5,0)</x:f>
        <x:v>0</x:v>
      </x:c>
      <x:c r="O5" s="88" t="n">
        <x:f>'Summary'!$B$3-L5</x:f>
        <x:v>39</x:v>
      </x:c>
      <x:c r="P5" s="88" t="n">
        <x:f>IF(AND(H5="Completed",G5&lt;&gt;"",F5&lt;&gt;""),G5-F5,"")</x:f>
        <x:v>12</x:v>
      </x:c>
      <x:c r="Q5" s="89" t="str">
        <x:f>IF(OR(H5="On Hold",AND(I5="High",N5&gt;7,H5&lt;&gt;"Completed")),"Critical",IF(OR(AND(N5&gt;=1,N5&lt;=7,H5&lt;&gt;"Completed"),AND(O5&gt;7,H5&lt;&gt;"Completed")),"Warning","Normal"))</x:f>
        <x:v>Normal</x:v>
      </x:c>
      <x:c r="R5" s="90" t="str">
        <x:f>IF(AND(I5="High",N5&gt;7,H5&lt;&gt;"Completed"),"High-priority activity overdue by more than 7 days",IF(H5="On Hold","Activity is on hold",IF(AND(O5&gt;7,H5&lt;&gt;"Completed"),"Open activity has a stale update (&gt;7 days)",IF(AND(N5&gt;=1,N5&lt;=7,H5&lt;&gt;"Completed"),"Open activity overdue by 1-7 days",""))))</x:f>
      </x:c>
    </x:row>
    <x:row r="6">
      <x:c r="A6" s="84" t="str">
        <x:v>ACT-0002</x:v>
      </x:c>
      <x:c r="B6" s="85" t="str">
        <x:v>Engineering</x:v>
      </x:c>
      <x:c r="C6" s="85" t="str">
        <x:v>ENG-A</x:v>
      </x:c>
      <x:c r="D6" s="85" t="str">
        <x:v>RFI Closure</x:v>
      </x:c>
      <x:c r="E6" s="86" t="n">
        <x:v>46238</x:v>
      </x:c>
      <x:c r="F6" s="86" t="n">
        <x:v>46260</x:v>
      </x:c>
      <x:c r="G6" s="86" t="n">
        <x:v>46263</x:v>
      </x:c>
      <x:c r="H6" s="85" t="str">
        <x:v>Completed</x:v>
      </x:c>
      <x:c r="I6" s="85" t="str">
        <x:v>High</x:v>
      </x:c>
      <x:c r="J6" s="87" t="n">
        <x:v>100</x:v>
      </x:c>
      <x:c r="K6" s="85" t="str">
        <x:v>None</x:v>
      </x:c>
      <x:c r="L6" s="86" t="n">
        <x:v>46262</x:v>
      </x:c>
      <x:c r="M6" s="85" t="str">
        <x:v>Team Lead C</x:v>
      </x:c>
      <x:c r="N6" s="88" t="n">
        <x:f>IF(AND(H6&lt;&gt;"Completed",F6&lt;'Summary'!$B$3),'Summary'!$B$3-F6,0)</x:f>
        <x:v>0</x:v>
      </x:c>
      <x:c r="O6" s="88" t="n">
        <x:f>'Summary'!$B$3-L6</x:f>
        <x:v>4</x:v>
      </x:c>
      <x:c r="P6" s="88" t="n">
        <x:f>IF(AND(H6="Completed",G6&lt;&gt;"",F6&lt;&gt;""),G6-F6,"")</x:f>
        <x:v>3</x:v>
      </x:c>
      <x:c r="Q6" s="89" t="str">
        <x:f>IF(OR(H6="On Hold",AND(I6="High",N6&gt;7,H6&lt;&gt;"Completed")),"Critical",IF(OR(AND(N6&gt;=1,N6&lt;=7,H6&lt;&gt;"Completed"),AND(O6&gt;7,H6&lt;&gt;"Completed")),"Warning","Normal"))</x:f>
        <x:v>Normal</x:v>
      </x:c>
      <x:c r="R6" s="90" t="str">
        <x:f>IF(AND(I6="High",N6&gt;7,H6&lt;&gt;"Completed"),"High-priority activity overdue by more than 7 days",IF(H6="On Hold","Activity is on hold",IF(AND(O6&gt;7,H6&lt;&gt;"Completed"),"Open activity has a stale update (&gt;7 days)",IF(AND(N6&gt;=1,N6&lt;=7,H6&lt;&gt;"Completed"),"Open activity overdue by 1-7 days",""))))</x:f>
      </x:c>
    </x:row>
    <x:row r="7">
      <x:c r="A7" s="84" t="str">
        <x:v>ACT-0003</x:v>
      </x:c>
      <x:c r="B7" s="85" t="str">
        <x:v>Project Controls</x:v>
      </x:c>
      <x:c r="C7" s="85" t="str">
        <x:v>PC-A</x:v>
      </x:c>
      <x:c r="D7" s="85" t="str">
        <x:v>Progress Update</x:v>
      </x:c>
      <x:c r="E7" s="86" t="n">
        <x:v>46263</x:v>
      </x:c>
      <x:c r="F7" s="86" t="n">
        <x:v>46279</x:v>
      </x:c>
      <x:c r="G7" s="86"/>
      <x:c r="H7" s="85" t="str">
        <x:v>In Progress</x:v>
      </x:c>
      <x:c r="I7" s="85" t="str">
        <x:v>High</x:v>
      </x:c>
      <x:c r="J7" s="87" t="n">
        <x:v>95</x:v>
      </x:c>
      <x:c r="K7" s="85" t="str">
        <x:v>None</x:v>
      </x:c>
      <x:c r="L7" s="86" t="n">
        <x:v>46261</x:v>
      </x:c>
      <x:c r="M7" s="85" t="str">
        <x:v>Team Lead D</x:v>
      </x:c>
      <x:c r="N7" s="88" t="n">
        <x:f>IF(AND(H7&lt;&gt;"Completed",F7&lt;'Summary'!$B$3),'Summary'!$B$3-F7,0)</x:f>
        <x:v>0</x:v>
      </x:c>
      <x:c r="O7" s="88" t="n">
        <x:f>'Summary'!$B$3-L7</x:f>
        <x:v>5</x:v>
      </x:c>
      <x:c r="P7" s="88" t="str">
        <x:f>IF(AND(H7="Completed",G7&lt;&gt;"",F7&lt;&gt;""),G7-F7,"")</x:f>
      </x:c>
      <x:c r="Q7" s="89" t="str">
        <x:f>IF(OR(H7="On Hold",AND(I7="High",N7&gt;7,H7&lt;&gt;"Completed")),"Critical",IF(OR(AND(N7&gt;=1,N7&lt;=7,H7&lt;&gt;"Completed"),AND(O7&gt;7,H7&lt;&gt;"Completed")),"Warning","Normal"))</x:f>
        <x:v>Normal</x:v>
      </x:c>
      <x:c r="R7" s="90" t="str">
        <x:f>IF(AND(I7="High",N7&gt;7,H7&lt;&gt;"Completed"),"High-priority activity overdue by more than 7 days",IF(H7="On Hold","Activity is on hold",IF(AND(O7&gt;7,H7&lt;&gt;"Completed"),"Open activity has a stale update (&gt;7 days)",IF(AND(N7&gt;=1,N7&lt;=7,H7&lt;&gt;"Completed"),"Open activity overdue by 1-7 days",""))))</x:f>
      </x:c>
    </x:row>
    <x:row r="8">
      <x:c r="A8" s="84" t="str">
        <x:v>ACT-0004</x:v>
      </x:c>
      <x:c r="B8" s="85" t="str">
        <x:v>Engineering</x:v>
      </x:c>
      <x:c r="C8" s="85" t="str">
        <x:v>ENG-B</x:v>
      </x:c>
      <x:c r="D8" s="85" t="str">
        <x:v>Technical Query</x:v>
      </x:c>
      <x:c r="E8" s="86" t="n">
        <x:v>46179</x:v>
      </x:c>
      <x:c r="F8" s="86" t="n">
        <x:v>46205</x:v>
      </x:c>
      <x:c r="G8" s="86" t="n">
        <x:v>46212</x:v>
      </x:c>
      <x:c r="H8" s="85" t="str">
        <x:v>Completed</x:v>
      </x:c>
      <x:c r="I8" s="85" t="str">
        <x:v>High</x:v>
      </x:c>
      <x:c r="J8" s="87" t="n">
        <x:v>100</x:v>
      </x:c>
      <x:c r="K8" s="85" t="str">
        <x:v>Approval Delay</x:v>
      </x:c>
      <x:c r="L8" s="86" t="n">
        <x:v>46212</x:v>
      </x:c>
      <x:c r="M8" s="85" t="str">
        <x:v>Team Lead F</x:v>
      </x:c>
      <x:c r="N8" s="88" t="n">
        <x:f>IF(AND(H8&lt;&gt;"Completed",F8&lt;'Summary'!$B$3),'Summary'!$B$3-F8,0)</x:f>
        <x:v>0</x:v>
      </x:c>
      <x:c r="O8" s="88" t="n">
        <x:f>'Summary'!$B$3-L8</x:f>
        <x:v>54</x:v>
      </x:c>
      <x:c r="P8" s="88" t="n">
        <x:f>IF(AND(H8="Completed",G8&lt;&gt;"",F8&lt;&gt;""),G8-F8,"")</x:f>
        <x:v>7</x:v>
      </x:c>
      <x:c r="Q8" s="89" t="str">
        <x:f>IF(OR(H8="On Hold",AND(I8="High",N8&gt;7,H8&lt;&gt;"Completed")),"Critical",IF(OR(AND(N8&gt;=1,N8&lt;=7,H8&lt;&gt;"Completed"),AND(O8&gt;7,H8&lt;&gt;"Completed")),"Warning","Normal"))</x:f>
        <x:v>Normal</x:v>
      </x:c>
      <x:c r="R8" s="90" t="str">
        <x:f>IF(AND(I8="High",N8&gt;7,H8&lt;&gt;"Completed"),"High-priority activity overdue by more than 7 days",IF(H8="On Hold","Activity is on hold",IF(AND(O8&gt;7,H8&lt;&gt;"Completed"),"Open activity has a stale update (&gt;7 days)",IF(AND(N8&gt;=1,N8&lt;=7,H8&lt;&gt;"Completed"),"Open activity overdue by 1-7 days",""))))</x:f>
      </x:c>
    </x:row>
    <x:row r="9">
      <x:c r="A9" s="84" t="str">
        <x:v>ACT-0005</x:v>
      </x:c>
      <x:c r="B9" s="85" t="str">
        <x:v>Construction</x:v>
      </x:c>
      <x:c r="C9" s="85" t="str">
        <x:v>CONST-B</x:v>
      </x:c>
      <x:c r="D9" s="85" t="str">
        <x:v>Punch Clearance</x:v>
      </x:c>
      <x:c r="E9" s="86" t="n">
        <x:v>46264</x:v>
      </x:c>
      <x:c r="F9" s="86" t="n">
        <x:v>46269</x:v>
      </x:c>
      <x:c r="G9" s="86" t="n">
        <x:v>46266</x:v>
      </x:c>
      <x:c r="H9" s="85" t="str">
        <x:v>Completed</x:v>
      </x:c>
      <x:c r="I9" s="85" t="str">
        <x:v>Medium</x:v>
      </x:c>
      <x:c r="J9" s="87" t="n">
        <x:v>100</x:v>
      </x:c>
      <x:c r="K9" s="85" t="str">
        <x:v>Documentation</x:v>
      </x:c>
      <x:c r="L9" s="86" t="n">
        <x:v>46265</x:v>
      </x:c>
      <x:c r="M9" s="85" t="str">
        <x:v>Team Lead D</x:v>
      </x:c>
      <x:c r="N9" s="88" t="n">
        <x:f>IF(AND(H9&lt;&gt;"Completed",F9&lt;'Summary'!$B$3),'Summary'!$B$3-F9,0)</x:f>
        <x:v>0</x:v>
      </x:c>
      <x:c r="O9" s="88" t="n">
        <x:f>'Summary'!$B$3-L9</x:f>
        <x:v>1</x:v>
      </x:c>
      <x:c r="P9" s="88" t="n">
        <x:f>IF(AND(H9="Completed",G9&lt;&gt;"",F9&lt;&gt;""),G9-F9,"")</x:f>
        <x:v>-3</x:v>
      </x:c>
      <x:c r="Q9" s="89" t="str">
        <x:f>IF(OR(H9="On Hold",AND(I9="High",N9&gt;7,H9&lt;&gt;"Completed")),"Critical",IF(OR(AND(N9&gt;=1,N9&lt;=7,H9&lt;&gt;"Completed"),AND(O9&gt;7,H9&lt;&gt;"Completed")),"Warning","Normal"))</x:f>
        <x:v>Normal</x:v>
      </x:c>
      <x:c r="R9" s="90" t="str">
        <x:f>IF(AND(I9="High",N9&gt;7,H9&lt;&gt;"Completed"),"High-priority activity overdue by more than 7 days",IF(H9="On Hold","Activity is on hold",IF(AND(O9&gt;7,H9&lt;&gt;"Completed"),"Open activity has a stale update (&gt;7 days)",IF(AND(N9&gt;=1,N9&lt;=7,H9&lt;&gt;"Completed"),"Open activity overdue by 1-7 days",""))))</x:f>
      </x:c>
    </x:row>
    <x:row r="10">
      <x:c r="A10" s="84" t="str">
        <x:v>ACT-0006</x:v>
      </x:c>
      <x:c r="B10" s="85" t="str">
        <x:v>QA/QC</x:v>
      </x:c>
      <x:c r="C10" s="85" t="str">
        <x:v>QA-B</x:v>
      </x:c>
      <x:c r="D10" s="85" t="str">
        <x:v>Inspection Request</x:v>
      </x:c>
      <x:c r="E10" s="86" t="n">
        <x:v>46221</x:v>
      </x:c>
      <x:c r="F10" s="86" t="n">
        <x:v>46235</x:v>
      </x:c>
      <x:c r="G10" s="86" t="n">
        <x:v>46232</x:v>
      </x:c>
      <x:c r="H10" s="85" t="str">
        <x:v>Completed</x:v>
      </x:c>
      <x:c r="I10" s="85" t="str">
        <x:v>Medium</x:v>
      </x:c>
      <x:c r="J10" s="87" t="n">
        <x:v>100</x:v>
      </x:c>
      <x:c r="K10" s="85" t="str">
        <x:v>Approval Delay</x:v>
      </x:c>
      <x:c r="L10" s="86" t="n">
        <x:v>46228</x:v>
      </x:c>
      <x:c r="M10" s="85" t="str">
        <x:v>Team Lead E</x:v>
      </x:c>
      <x:c r="N10" s="88" t="n">
        <x:f>IF(AND(H10&lt;&gt;"Completed",F10&lt;'Summary'!$B$3),'Summary'!$B$3-F10,0)</x:f>
        <x:v>0</x:v>
      </x:c>
      <x:c r="O10" s="88" t="n">
        <x:f>'Summary'!$B$3-L10</x:f>
        <x:v>38</x:v>
      </x:c>
      <x:c r="P10" s="88" t="n">
        <x:f>IF(AND(H10="Completed",G10&lt;&gt;"",F10&lt;&gt;""),G10-F10,"")</x:f>
        <x:v>-3</x:v>
      </x:c>
      <x:c r="Q10" s="89" t="str">
        <x:f>IF(OR(H10="On Hold",AND(I10="High",N10&gt;7,H10&lt;&gt;"Completed")),"Critical",IF(OR(AND(N10&gt;=1,N10&lt;=7,H10&lt;&gt;"Completed"),AND(O10&gt;7,H10&lt;&gt;"Completed")),"Warning","Normal"))</x:f>
        <x:v>Normal</x:v>
      </x:c>
      <x:c r="R10" s="90" t="str">
        <x:f>IF(AND(I10="High",N10&gt;7,H10&lt;&gt;"Completed"),"High-priority activity overdue by more than 7 days",IF(H10="On Hold","Activity is on hold",IF(AND(O10&gt;7,H10&lt;&gt;"Completed"),"Open activity has a stale update (&gt;7 days)",IF(AND(N10&gt;=1,N10&lt;=7,H10&lt;&gt;"Completed"),"Open activity overdue by 1-7 days",""))))</x:f>
      </x:c>
    </x:row>
    <x:row r="11">
      <x:c r="A11" s="84" t="str">
        <x:v>ACT-0007</x:v>
      </x:c>
      <x:c r="B11" s="85" t="str">
        <x:v>Project Controls</x:v>
      </x:c>
      <x:c r="C11" s="85" t="str">
        <x:v>PC-A</x:v>
      </x:c>
      <x:c r="D11" s="85" t="str">
        <x:v>Schedule Review</x:v>
      </x:c>
      <x:c r="E11" s="86" t="n">
        <x:v>46222</x:v>
      </x:c>
      <x:c r="F11" s="86" t="n">
        <x:v>46233</x:v>
      </x:c>
      <x:c r="G11" s="86"/>
      <x:c r="H11" s="85" t="str">
        <x:v>On Hold</x:v>
      </x:c>
      <x:c r="I11" s="85" t="str">
        <x:v>Medium</x:v>
      </x:c>
      <x:c r="J11" s="87" t="n">
        <x:v>50</x:v>
      </x:c>
      <x:c r="K11" s="85" t="str">
        <x:v>Documentation</x:v>
      </x:c>
      <x:c r="L11" s="86" t="n">
        <x:v>46254</x:v>
      </x:c>
      <x:c r="M11" s="85" t="str">
        <x:v>Team Lead A</x:v>
      </x:c>
      <x:c r="N11" s="88" t="n">
        <x:f>IF(AND(H11&lt;&gt;"Completed",F11&lt;'Summary'!$B$3),'Summary'!$B$3-F11,0)</x:f>
        <x:v>33</x:v>
      </x:c>
      <x:c r="O11" s="88" t="n">
        <x:f>'Summary'!$B$3-L11</x:f>
        <x:v>12</x:v>
      </x:c>
      <x:c r="P11" s="88" t="str">
        <x:f>IF(AND(H11="Completed",G11&lt;&gt;"",F11&lt;&gt;""),G11-F11,"")</x:f>
      </x:c>
      <x:c r="Q11" s="89" t="str">
        <x:f>IF(OR(H11="On Hold",AND(I11="High",N11&gt;7,H11&lt;&gt;"Completed")),"Critical",IF(OR(AND(N11&gt;=1,N11&lt;=7,H11&lt;&gt;"Completed"),AND(O11&gt;7,H11&lt;&gt;"Completed")),"Warning","Normal"))</x:f>
        <x:v>Critical</x:v>
      </x:c>
      <x:c r="R11" s="90" t="str">
        <x:f>IF(AND(I11="High",N11&gt;7,H11&lt;&gt;"Completed"),"High-priority activity overdue by more than 7 days",IF(H11="On Hold","Activity is on hold",IF(AND(O11&gt;7,H11&lt;&gt;"Completed"),"Open activity has a stale update (&gt;7 days)",IF(AND(N11&gt;=1,N11&lt;=7,H11&lt;&gt;"Completed"),"Open activity overdue by 1-7 days",""))))</x:f>
        <x:v>Activity is on hold</x:v>
      </x:c>
    </x:row>
    <x:row r="12">
      <x:c r="A12" s="84" t="str">
        <x:v>ACT-0008</x:v>
      </x:c>
      <x:c r="B12" s="85" t="str">
        <x:v>Engineering</x:v>
      </x:c>
      <x:c r="C12" s="85" t="str">
        <x:v>ENG-A</x:v>
      </x:c>
      <x:c r="D12" s="85" t="str">
        <x:v>Technical Query</x:v>
      </x:c>
      <x:c r="E12" s="86" t="n">
        <x:v>46225</x:v>
      </x:c>
      <x:c r="F12" s="86" t="n">
        <x:v>46236</x:v>
      </x:c>
      <x:c r="G12" s="86" t="n">
        <x:v>46249</x:v>
      </x:c>
      <x:c r="H12" s="85" t="str">
        <x:v>Completed</x:v>
      </x:c>
      <x:c r="I12" s="85" t="str">
        <x:v>Low</x:v>
      </x:c>
      <x:c r="J12" s="87" t="n">
        <x:v>100</x:v>
      </x:c>
      <x:c r="K12" s="85" t="str">
        <x:v>None</x:v>
      </x:c>
      <x:c r="L12" s="86" t="n">
        <x:v>46247</x:v>
      </x:c>
      <x:c r="M12" s="85" t="str">
        <x:v>Team Lead D</x:v>
      </x:c>
      <x:c r="N12" s="88" t="n">
        <x:f>IF(AND(H12&lt;&gt;"Completed",F12&lt;'Summary'!$B$3),'Summary'!$B$3-F12,0)</x:f>
        <x:v>0</x:v>
      </x:c>
      <x:c r="O12" s="88" t="n">
        <x:f>'Summary'!$B$3-L12</x:f>
        <x:v>19</x:v>
      </x:c>
      <x:c r="P12" s="88" t="n">
        <x:f>IF(AND(H12="Completed",G12&lt;&gt;"",F12&lt;&gt;""),G12-F12,"")</x:f>
        <x:v>13</x:v>
      </x:c>
      <x:c r="Q12" s="89" t="str">
        <x:f>IF(OR(H12="On Hold",AND(I12="High",N12&gt;7,H12&lt;&gt;"Completed")),"Critical",IF(OR(AND(N12&gt;=1,N12&lt;=7,H12&lt;&gt;"Completed"),AND(O12&gt;7,H12&lt;&gt;"Completed")),"Warning","Normal"))</x:f>
        <x:v>Normal</x:v>
      </x:c>
      <x:c r="R12" s="90" t="str">
        <x:f>IF(AND(I12="High",N12&gt;7,H12&lt;&gt;"Completed"),"High-priority activity overdue by more than 7 days",IF(H12="On Hold","Activity is on hold",IF(AND(O12&gt;7,H12&lt;&gt;"Completed"),"Open activity has a stale update (&gt;7 days)",IF(AND(N12&gt;=1,N12&lt;=7,H12&lt;&gt;"Completed"),"Open activity overdue by 1-7 days",""))))</x:f>
      </x:c>
    </x:row>
    <x:row r="13">
      <x:c r="A13" s="84" t="str">
        <x:v>ACT-0009</x:v>
      </x:c>
      <x:c r="B13" s="85" t="str">
        <x:v>QA/QC</x:v>
      </x:c>
      <x:c r="C13" s="85" t="str">
        <x:v>QA-B</x:v>
      </x:c>
      <x:c r="D13" s="85" t="str">
        <x:v>Inspection Request</x:v>
      </x:c>
      <x:c r="E13" s="86" t="n">
        <x:v>46207</x:v>
      </x:c>
      <x:c r="F13" s="86" t="n">
        <x:v>46214</x:v>
      </x:c>
      <x:c r="G13" s="86" t="n">
        <x:v>46217</x:v>
      </x:c>
      <x:c r="H13" s="85" t="str">
        <x:v>Completed</x:v>
      </x:c>
      <x:c r="I13" s="85" t="str">
        <x:v>Medium</x:v>
      </x:c>
      <x:c r="J13" s="87" t="n">
        <x:v>100</x:v>
      </x:c>
      <x:c r="K13" s="85" t="str">
        <x:v>None</x:v>
      </x:c>
      <x:c r="L13" s="86" t="n">
        <x:v>46213</x:v>
      </x:c>
      <x:c r="M13" s="85" t="str">
        <x:v>Team Lead E</x:v>
      </x:c>
      <x:c r="N13" s="88" t="n">
        <x:f>IF(AND(H13&lt;&gt;"Completed",F13&lt;'Summary'!$B$3),'Summary'!$B$3-F13,0)</x:f>
        <x:v>0</x:v>
      </x:c>
      <x:c r="O13" s="88" t="n">
        <x:f>'Summary'!$B$3-L13</x:f>
        <x:v>53</x:v>
      </x:c>
      <x:c r="P13" s="88" t="n">
        <x:f>IF(AND(H13="Completed",G13&lt;&gt;"",F13&lt;&gt;""),G13-F13,"")</x:f>
        <x:v>3</x:v>
      </x:c>
      <x:c r="Q13" s="89" t="str">
        <x:f>IF(OR(H13="On Hold",AND(I13="High",N13&gt;7,H13&lt;&gt;"Completed")),"Critical",IF(OR(AND(N13&gt;=1,N13&lt;=7,H13&lt;&gt;"Completed"),AND(O13&gt;7,H13&lt;&gt;"Completed")),"Warning","Normal"))</x:f>
        <x:v>Normal</x:v>
      </x:c>
      <x:c r="R13" s="90" t="str">
        <x:f>IF(AND(I13="High",N13&gt;7,H13&lt;&gt;"Completed"),"High-priority activity overdue by more than 7 days",IF(H13="On Hold","Activity is on hold",IF(AND(O13&gt;7,H13&lt;&gt;"Completed"),"Open activity has a stale update (&gt;7 days)",IF(AND(N13&gt;=1,N13&lt;=7,H13&lt;&gt;"Completed"),"Open activity overdue by 1-7 days",""))))</x:f>
      </x:c>
    </x:row>
    <x:row r="14">
      <x:c r="A14" s="84" t="str">
        <x:v>ACT-0010</x:v>
      </x:c>
      <x:c r="B14" s="85" t="str">
        <x:v>QA/QC</x:v>
      </x:c>
      <x:c r="C14" s="85" t="str">
        <x:v>QA-A</x:v>
      </x:c>
      <x:c r="D14" s="85" t="str">
        <x:v>Inspection Request</x:v>
      </x:c>
      <x:c r="E14" s="86" t="n">
        <x:v>46239</x:v>
      </x:c>
      <x:c r="F14" s="86" t="n">
        <x:v>46257</x:v>
      </x:c>
      <x:c r="G14" s="86" t="n">
        <x:v>46255</x:v>
      </x:c>
      <x:c r="H14" s="85" t="str">
        <x:v>Completed</x:v>
      </x:c>
      <x:c r="I14" s="85" t="str">
        <x:v>High</x:v>
      </x:c>
      <x:c r="J14" s="87" t="n">
        <x:v>100</x:v>
      </x:c>
      <x:c r="K14" s="85" t="str">
        <x:v>Approval Delay</x:v>
      </x:c>
      <x:c r="L14" s="86" t="n">
        <x:v>46254</x:v>
      </x:c>
      <x:c r="M14" s="85" t="str">
        <x:v>Team Lead F</x:v>
      </x:c>
      <x:c r="N14" s="88" t="n">
        <x:f>IF(AND(H14&lt;&gt;"Completed",F14&lt;'Summary'!$B$3),'Summary'!$B$3-F14,0)</x:f>
        <x:v>0</x:v>
      </x:c>
      <x:c r="O14" s="88" t="n">
        <x:f>'Summary'!$B$3-L14</x:f>
        <x:v>12</x:v>
      </x:c>
      <x:c r="P14" s="88" t="n">
        <x:f>IF(AND(H14="Completed",G14&lt;&gt;"",F14&lt;&gt;""),G14-F14,"")</x:f>
        <x:v>-2</x:v>
      </x:c>
      <x:c r="Q14" s="89" t="str">
        <x:f>IF(OR(H14="On Hold",AND(I14="High",N14&gt;7,H14&lt;&gt;"Completed")),"Critical",IF(OR(AND(N14&gt;=1,N14&lt;=7,H14&lt;&gt;"Completed"),AND(O14&gt;7,H14&lt;&gt;"Completed")),"Warning","Normal"))</x:f>
        <x:v>Normal</x:v>
      </x:c>
      <x:c r="R14" s="90" t="str">
        <x:f>IF(AND(I14="High",N14&gt;7,H14&lt;&gt;"Completed"),"High-priority activity overdue by more than 7 days",IF(H14="On Hold","Activity is on hold",IF(AND(O14&gt;7,H14&lt;&gt;"Completed"),"Open activity has a stale update (&gt;7 days)",IF(AND(N14&gt;=1,N14&lt;=7,H14&lt;&gt;"Completed"),"Open activity overdue by 1-7 days",""))))</x:f>
      </x:c>
    </x:row>
    <x:row r="15">
      <x:c r="A15" s="84" t="str">
        <x:v>ACT-0011</x:v>
      </x:c>
      <x:c r="B15" s="85" t="str">
        <x:v>QA/QC</x:v>
      </x:c>
      <x:c r="C15" s="85" t="str">
        <x:v>QA-A</x:v>
      </x:c>
      <x:c r="D15" s="85" t="str">
        <x:v>Quality Review</x:v>
      </x:c>
      <x:c r="E15" s="86" t="n">
        <x:v>46222</x:v>
      </x:c>
      <x:c r="F15" s="86" t="n">
        <x:v>46244</x:v>
      </x:c>
      <x:c r="G15" s="86"/>
      <x:c r="H15" s="85" t="str">
        <x:v>On Hold</x:v>
      </x:c>
      <x:c r="I15" s="85" t="str">
        <x:v>Medium</x:v>
      </x:c>
      <x:c r="J15" s="87" t="n">
        <x:v>50</x:v>
      </x:c>
      <x:c r="K15" s="85" t="str">
        <x:v>Documentation</x:v>
      </x:c>
      <x:c r="L15" s="86" t="n">
        <x:v>46261</x:v>
      </x:c>
      <x:c r="M15" s="85" t="str">
        <x:v>Team Lead A</x:v>
      </x:c>
      <x:c r="N15" s="88" t="n">
        <x:f>IF(AND(H15&lt;&gt;"Completed",F15&lt;'Summary'!$B$3),'Summary'!$B$3-F15,0)</x:f>
        <x:v>22</x:v>
      </x:c>
      <x:c r="O15" s="88" t="n">
        <x:f>'Summary'!$B$3-L15</x:f>
        <x:v>5</x:v>
      </x:c>
      <x:c r="P15" s="88" t="str">
        <x:f>IF(AND(H15="Completed",G15&lt;&gt;"",F15&lt;&gt;""),G15-F15,"")</x:f>
      </x:c>
      <x:c r="Q15" s="89" t="str">
        <x:f>IF(OR(H15="On Hold",AND(I15="High",N15&gt;7,H15&lt;&gt;"Completed")),"Critical",IF(OR(AND(N15&gt;=1,N15&lt;=7,H15&lt;&gt;"Completed"),AND(O15&gt;7,H15&lt;&gt;"Completed")),"Warning","Normal"))</x:f>
        <x:v>Critical</x:v>
      </x:c>
      <x:c r="R15" s="90" t="str">
        <x:f>IF(AND(I15="High",N15&gt;7,H15&lt;&gt;"Completed"),"High-priority activity overdue by more than 7 days",IF(H15="On Hold","Activity is on hold",IF(AND(O15&gt;7,H15&lt;&gt;"Completed"),"Open activity has a stale update (&gt;7 days)",IF(AND(N15&gt;=1,N15&lt;=7,H15&lt;&gt;"Completed"),"Open activity overdue by 1-7 days",""))))</x:f>
        <x:v>Activity is on hold</x:v>
      </x:c>
    </x:row>
    <x:row r="16">
      <x:c r="A16" s="84" t="str">
        <x:v>ACT-0012</x:v>
      </x:c>
      <x:c r="B16" s="85" t="str">
        <x:v>Construction</x:v>
      </x:c>
      <x:c r="C16" s="85" t="str">
        <x:v>CONST-B</x:v>
      </x:c>
      <x:c r="D16" s="85" t="str">
        <x:v>Progress Update</x:v>
      </x:c>
      <x:c r="E16" s="86" t="n">
        <x:v>46188</x:v>
      </x:c>
      <x:c r="F16" s="86" t="n">
        <x:v>46200</x:v>
      </x:c>
      <x:c r="G16" s="86" t="n">
        <x:v>46203</x:v>
      </x:c>
      <x:c r="H16" s="85" t="str">
        <x:v>Completed</x:v>
      </x:c>
      <x:c r="I16" s="85" t="str">
        <x:v>Medium</x:v>
      </x:c>
      <x:c r="J16" s="87" t="n">
        <x:v>100</x:v>
      </x:c>
      <x:c r="K16" s="85" t="str">
        <x:v>Manpower</x:v>
      </x:c>
      <x:c r="L16" s="86" t="n">
        <x:v>46199</x:v>
      </x:c>
      <x:c r="M16" s="85" t="str">
        <x:v>Team Lead E</x:v>
      </x:c>
      <x:c r="N16" s="88" t="n">
        <x:f>IF(AND(H16&lt;&gt;"Completed",F16&lt;'Summary'!$B$3),'Summary'!$B$3-F16,0)</x:f>
        <x:v>0</x:v>
      </x:c>
      <x:c r="O16" s="88" t="n">
        <x:f>'Summary'!$B$3-L16</x:f>
        <x:v>67</x:v>
      </x:c>
      <x:c r="P16" s="88" t="n">
        <x:f>IF(AND(H16="Completed",G16&lt;&gt;"",F16&lt;&gt;""),G16-F16,"")</x:f>
        <x:v>3</x:v>
      </x:c>
      <x:c r="Q16" s="89" t="str">
        <x:f>IF(OR(H16="On Hold",AND(I16="High",N16&gt;7,H16&lt;&gt;"Completed")),"Critical",IF(OR(AND(N16&gt;=1,N16&lt;=7,H16&lt;&gt;"Completed"),AND(O16&gt;7,H16&lt;&gt;"Completed")),"Warning","Normal"))</x:f>
        <x:v>Normal</x:v>
      </x:c>
      <x:c r="R16" s="90" t="str">
        <x:f>IF(AND(I16="High",N16&gt;7,H16&lt;&gt;"Completed"),"High-priority activity overdue by more than 7 days",IF(H16="On Hold","Activity is on hold",IF(AND(O16&gt;7,H16&lt;&gt;"Completed"),"Open activity has a stale update (&gt;7 days)",IF(AND(N16&gt;=1,N16&lt;=7,H16&lt;&gt;"Completed"),"Open activity overdue by 1-7 days",""))))</x:f>
      </x:c>
    </x:row>
    <x:row r="17">
      <x:c r="A17" s="84" t="str">
        <x:v>ACT-0013</x:v>
      </x:c>
      <x:c r="B17" s="85" t="str">
        <x:v>Procurement</x:v>
      </x:c>
      <x:c r="C17" s="85" t="str">
        <x:v>PROC-A</x:v>
      </x:c>
      <x:c r="D17" s="85" t="str">
        <x:v>Material Status Update</x:v>
      </x:c>
      <x:c r="E17" s="86" t="n">
        <x:v>46238</x:v>
      </x:c>
      <x:c r="F17" s="86" t="n">
        <x:v>46260</x:v>
      </x:c>
      <x:c r="G17" s="86" t="n">
        <x:v>46260</x:v>
      </x:c>
      <x:c r="H17" s="85" t="str">
        <x:v>Completed</x:v>
      </x:c>
      <x:c r="I17" s="85" t="str">
        <x:v>Medium</x:v>
      </x:c>
      <x:c r="J17" s="87" t="n">
        <x:v>100</x:v>
      </x:c>
      <x:c r="K17" s="85" t="str">
        <x:v>Documentation</x:v>
      </x:c>
      <x:c r="L17" s="86" t="n">
        <x:v>46256</x:v>
      </x:c>
      <x:c r="M17" s="85" t="str">
        <x:v>Team Lead E</x:v>
      </x:c>
      <x:c r="N17" s="88" t="n">
        <x:f>IF(AND(H17&lt;&gt;"Completed",F17&lt;'Summary'!$B$3),'Summary'!$B$3-F17,0)</x:f>
        <x:v>0</x:v>
      </x:c>
      <x:c r="O17" s="88" t="n">
        <x:f>'Summary'!$B$3-L17</x:f>
        <x:v>10</x:v>
      </x:c>
      <x:c r="P17" s="88" t="n">
        <x:f>IF(AND(H17="Completed",G17&lt;&gt;"",F17&lt;&gt;""),G17-F17,"")</x:f>
        <x:v>0</x:v>
      </x:c>
      <x:c r="Q17" s="89" t="str">
        <x:f>IF(OR(H17="On Hold",AND(I17="High",N17&gt;7,H17&lt;&gt;"Completed")),"Critical",IF(OR(AND(N17&gt;=1,N17&lt;=7,H17&lt;&gt;"Completed"),AND(O17&gt;7,H17&lt;&gt;"Completed")),"Warning","Normal"))</x:f>
        <x:v>Normal</x:v>
      </x:c>
      <x:c r="R17" s="90" t="str">
        <x:f>IF(AND(I17="High",N17&gt;7,H17&lt;&gt;"Completed"),"High-priority activity overdue by more than 7 days",IF(H17="On Hold","Activity is on hold",IF(AND(O17&gt;7,H17&lt;&gt;"Completed"),"Open activity has a stale update (&gt;7 days)",IF(AND(N17&gt;=1,N17&lt;=7,H17&lt;&gt;"Completed"),"Open activity overdue by 1-7 days",""))))</x:f>
      </x:c>
    </x:row>
    <x:row r="18">
      <x:c r="A18" s="84" t="str">
        <x:v>ACT-0014</x:v>
      </x:c>
      <x:c r="B18" s="85" t="str">
        <x:v>Procurement</x:v>
      </x:c>
      <x:c r="C18" s="85" t="str">
        <x:v>PROC-A</x:v>
      </x:c>
      <x:c r="D18" s="85" t="str">
        <x:v>Vendor Follow-up</x:v>
      </x:c>
      <x:c r="E18" s="86" t="n">
        <x:v>46176</x:v>
      </x:c>
      <x:c r="F18" s="86" t="n">
        <x:v>46182</x:v>
      </x:c>
      <x:c r="G18" s="86"/>
      <x:c r="H18" s="85" t="str">
        <x:v>In Progress</x:v>
      </x:c>
      <x:c r="I18" s="85" t="str">
        <x:v>Low</x:v>
      </x:c>
      <x:c r="J18" s="87" t="n">
        <x:v>95</x:v>
      </x:c>
      <x:c r="K18" s="85" t="str">
        <x:v>None</x:v>
      </x:c>
      <x:c r="L18" s="86" t="n">
        <x:v>46262</x:v>
      </x:c>
      <x:c r="M18" s="85" t="str">
        <x:v>Team Lead B</x:v>
      </x:c>
      <x:c r="N18" s="88" t="n">
        <x:f>IF(AND(H18&lt;&gt;"Completed",F18&lt;'Summary'!$B$3),'Summary'!$B$3-F18,0)</x:f>
        <x:v>84</x:v>
      </x:c>
      <x:c r="O18" s="88" t="n">
        <x:f>'Summary'!$B$3-L18</x:f>
        <x:v>4</x:v>
      </x:c>
      <x:c r="P18" s="88" t="str">
        <x:f>IF(AND(H18="Completed",G18&lt;&gt;"",F18&lt;&gt;""),G18-F18,"")</x:f>
      </x:c>
      <x:c r="Q18" s="89" t="str">
        <x:f>IF(OR(H18="On Hold",AND(I18="High",N18&gt;7,H18&lt;&gt;"Completed")),"Critical",IF(OR(AND(N18&gt;=1,N18&lt;=7,H18&lt;&gt;"Completed"),AND(O18&gt;7,H18&lt;&gt;"Completed")),"Warning","Normal"))</x:f>
        <x:v>Normal</x:v>
      </x:c>
      <x:c r="R18" s="90" t="str">
        <x:f>IF(AND(I18="High",N18&gt;7,H18&lt;&gt;"Completed"),"High-priority activity overdue by more than 7 days",IF(H18="On Hold","Activity is on hold",IF(AND(O18&gt;7,H18&lt;&gt;"Completed"),"Open activity has a stale update (&gt;7 days)",IF(AND(N18&gt;=1,N18&lt;=7,H18&lt;&gt;"Completed"),"Open activity overdue by 1-7 days",""))))</x:f>
      </x:c>
    </x:row>
    <x:row r="19">
      <x:c r="A19" s="84" t="str">
        <x:v>ACT-0015</x:v>
      </x:c>
      <x:c r="B19" s="85" t="str">
        <x:v>Procurement</x:v>
      </x:c>
      <x:c r="C19" s="85" t="str">
        <x:v>PROC-A</x:v>
      </x:c>
      <x:c r="D19" s="85" t="str">
        <x:v>Material Delivery</x:v>
      </x:c>
      <x:c r="E19" s="86" t="n">
        <x:v>46236</x:v>
      </x:c>
      <x:c r="F19" s="86" t="n">
        <x:v>46241</x:v>
      </x:c>
      <x:c r="G19" s="86"/>
      <x:c r="H19" s="85" t="str">
        <x:v>On Hold</x:v>
      </x:c>
      <x:c r="I19" s="85" t="str">
        <x:v>Medium</x:v>
      </x:c>
      <x:c r="J19" s="87" t="n">
        <x:v>20</x:v>
      </x:c>
      <x:c r="K19" s="85" t="str">
        <x:v>Rework</x:v>
      </x:c>
      <x:c r="L19" s="86" t="n">
        <x:v>46257</x:v>
      </x:c>
      <x:c r="M19" s="85" t="str">
        <x:v>Team Lead E</x:v>
      </x:c>
      <x:c r="N19" s="88" t="n">
        <x:f>IF(AND(H19&lt;&gt;"Completed",F19&lt;'Summary'!$B$3),'Summary'!$B$3-F19,0)</x:f>
        <x:v>25</x:v>
      </x:c>
      <x:c r="O19" s="88" t="n">
        <x:f>'Summary'!$B$3-L19</x:f>
        <x:v>9</x:v>
      </x:c>
      <x:c r="P19" s="88" t="str">
        <x:f>IF(AND(H19="Completed",G19&lt;&gt;"",F19&lt;&gt;""),G19-F19,"")</x:f>
      </x:c>
      <x:c r="Q19" s="89" t="str">
        <x:f>IF(OR(H19="On Hold",AND(I19="High",N19&gt;7,H19&lt;&gt;"Completed")),"Critical",IF(OR(AND(N19&gt;=1,N19&lt;=7,H19&lt;&gt;"Completed"),AND(O19&gt;7,H19&lt;&gt;"Completed")),"Warning","Normal"))</x:f>
        <x:v>Critical</x:v>
      </x:c>
      <x:c r="R19" s="90" t="str">
        <x:f>IF(AND(I19="High",N19&gt;7,H19&lt;&gt;"Completed"),"High-priority activity overdue by more than 7 days",IF(H19="On Hold","Activity is on hold",IF(AND(O19&gt;7,H19&lt;&gt;"Completed"),"Open activity has a stale update (&gt;7 days)",IF(AND(N19&gt;=1,N19&lt;=7,H19&lt;&gt;"Completed"),"Open activity overdue by 1-7 days",""))))</x:f>
        <x:v>Activity is on hold</x:v>
      </x:c>
    </x:row>
    <x:row r="20">
      <x:c r="A20" s="84" t="str">
        <x:v>ACT-0016</x:v>
      </x:c>
      <x:c r="B20" s="85" t="str">
        <x:v>Engineering</x:v>
      </x:c>
      <x:c r="C20" s="85" t="str">
        <x:v>ENG-B</x:v>
      </x:c>
      <x:c r="D20" s="85" t="str">
        <x:v>RFI Closure</x:v>
      </x:c>
      <x:c r="E20" s="86" t="n">
        <x:v>46243</x:v>
      </x:c>
      <x:c r="F20" s="86" t="n">
        <x:v>46270</x:v>
      </x:c>
      <x:c r="G20" s="86"/>
      <x:c r="H20" s="85" t="str">
        <x:v>On Hold</x:v>
      </x:c>
      <x:c r="I20" s="85" t="str">
        <x:v>High</x:v>
      </x:c>
      <x:c r="J20" s="87" t="n">
        <x:v>30</x:v>
      </x:c>
      <x:c r="K20" s="85" t="str">
        <x:v>Access Constraint</x:v>
      </x:c>
      <x:c r="L20" s="86" t="n">
        <x:v>46249</x:v>
      </x:c>
      <x:c r="M20" s="85" t="str">
        <x:v>Team Lead F</x:v>
      </x:c>
      <x:c r="N20" s="88" t="n">
        <x:f>IF(AND(H20&lt;&gt;"Completed",F20&lt;'Summary'!$B$3),'Summary'!$B$3-F20,0)</x:f>
        <x:v>0</x:v>
      </x:c>
      <x:c r="O20" s="88" t="n">
        <x:f>'Summary'!$B$3-L20</x:f>
        <x:v>17</x:v>
      </x:c>
      <x:c r="P20" s="88" t="str">
        <x:f>IF(AND(H20="Completed",G20&lt;&gt;"",F20&lt;&gt;""),G20-F20,"")</x:f>
      </x:c>
      <x:c r="Q20" s="89" t="str">
        <x:f>IF(OR(H20="On Hold",AND(I20="High",N20&gt;7,H20&lt;&gt;"Completed")),"Critical",IF(OR(AND(N20&gt;=1,N20&lt;=7,H20&lt;&gt;"Completed"),AND(O20&gt;7,H20&lt;&gt;"Completed")),"Warning","Normal"))</x:f>
        <x:v>Critical</x:v>
      </x:c>
      <x:c r="R20" s="90" t="str">
        <x:f>IF(AND(I20="High",N20&gt;7,H20&lt;&gt;"Completed"),"High-priority activity overdue by more than 7 days",IF(H20="On Hold","Activity is on hold",IF(AND(O20&gt;7,H20&lt;&gt;"Completed"),"Open activity has a stale update (&gt;7 days)",IF(AND(N20&gt;=1,N20&lt;=7,H20&lt;&gt;"Completed"),"Open activity overdue by 1-7 days",""))))</x:f>
        <x:v>Activity is on hold</x:v>
      </x:c>
    </x:row>
    <x:row r="21">
      <x:c r="A21" s="84" t="str">
        <x:v>ACT-0017</x:v>
      </x:c>
      <x:c r="B21" s="85" t="str">
        <x:v>QA/QC</x:v>
      </x:c>
      <x:c r="C21" s="85" t="str">
        <x:v>QA-B</x:v>
      </x:c>
      <x:c r="D21" s="85" t="str">
        <x:v>Test Package</x:v>
      </x:c>
      <x:c r="E21" s="86" t="n">
        <x:v>46205</x:v>
      </x:c>
      <x:c r="F21" s="86" t="n">
        <x:v>46215</x:v>
      </x:c>
      <x:c r="G21" s="86" t="n">
        <x:v>46227</x:v>
      </x:c>
      <x:c r="H21" s="85" t="str">
        <x:v>Completed</x:v>
      </x:c>
      <x:c r="I21" s="85" t="str">
        <x:v>High</x:v>
      </x:c>
      <x:c r="J21" s="87" t="n">
        <x:v>100</x:v>
      </x:c>
      <x:c r="K21" s="85" t="str">
        <x:v>Approval Delay</x:v>
      </x:c>
      <x:c r="L21" s="86" t="n">
        <x:v>46226</x:v>
      </x:c>
      <x:c r="M21" s="85" t="str">
        <x:v>Team Lead A</x:v>
      </x:c>
      <x:c r="N21" s="88" t="n">
        <x:f>IF(AND(H21&lt;&gt;"Completed",F21&lt;'Summary'!$B$3),'Summary'!$B$3-F21,0)</x:f>
        <x:v>0</x:v>
      </x:c>
      <x:c r="O21" s="88" t="n">
        <x:f>'Summary'!$B$3-L21</x:f>
        <x:v>40</x:v>
      </x:c>
      <x:c r="P21" s="88" t="n">
        <x:f>IF(AND(H21="Completed",G21&lt;&gt;"",F21&lt;&gt;""),G21-F21,"")</x:f>
        <x:v>12</x:v>
      </x:c>
      <x:c r="Q21" s="89" t="str">
        <x:f>IF(OR(H21="On Hold",AND(I21="High",N21&gt;7,H21&lt;&gt;"Completed")),"Critical",IF(OR(AND(N21&gt;=1,N21&lt;=7,H21&lt;&gt;"Completed"),AND(O21&gt;7,H21&lt;&gt;"Completed")),"Warning","Normal"))</x:f>
        <x:v>Normal</x:v>
      </x:c>
      <x:c r="R21" s="90" t="str">
        <x:f>IF(AND(I21="High",N21&gt;7,H21&lt;&gt;"Completed"),"High-priority activity overdue by more than 7 days",IF(H21="On Hold","Activity is on hold",IF(AND(O21&gt;7,H21&lt;&gt;"Completed"),"Open activity has a stale update (&gt;7 days)",IF(AND(N21&gt;=1,N21&lt;=7,H21&lt;&gt;"Completed"),"Open activity overdue by 1-7 days",""))))</x:f>
      </x:c>
    </x:row>
    <x:row r="22">
      <x:c r="A22" s="84" t="str">
        <x:v>ACT-0018</x:v>
      </x:c>
      <x:c r="B22" s="85" t="str">
        <x:v>Engineering</x:v>
      </x:c>
      <x:c r="C22" s="85" t="str">
        <x:v>ENG-A</x:v>
      </x:c>
      <x:c r="D22" s="85" t="str">
        <x:v>RFI Closure</x:v>
      </x:c>
      <x:c r="E22" s="86" t="n">
        <x:v>46182</x:v>
      </x:c>
      <x:c r="F22" s="86" t="n">
        <x:v>46186</x:v>
      </x:c>
      <x:c r="G22" s="86"/>
      <x:c r="H22" s="85" t="str">
        <x:v>In Progress</x:v>
      </x:c>
      <x:c r="I22" s="85" t="str">
        <x:v>High</x:v>
      </x:c>
      <x:c r="J22" s="87" t="n">
        <x:v>50</x:v>
      </x:c>
      <x:c r="K22" s="85" t="str">
        <x:v>Manpower</x:v>
      </x:c>
      <x:c r="L22" s="86" t="n">
        <x:v>46262</x:v>
      </x:c>
      <x:c r="M22" s="85" t="str">
        <x:v>Team Lead B</x:v>
      </x:c>
      <x:c r="N22" s="88" t="n">
        <x:f>IF(AND(H22&lt;&gt;"Completed",F22&lt;'Summary'!$B$3),'Summary'!$B$3-F22,0)</x:f>
        <x:v>80</x:v>
      </x:c>
      <x:c r="O22" s="88" t="n">
        <x:f>'Summary'!$B$3-L22</x:f>
        <x:v>4</x:v>
      </x:c>
      <x:c r="P22" s="88" t="str">
        <x:f>IF(AND(H22="Completed",G22&lt;&gt;"",F22&lt;&gt;""),G22-F22,"")</x:f>
      </x:c>
      <x:c r="Q22" s="89" t="str">
        <x:f>IF(OR(H22="On Hold",AND(I22="High",N22&gt;7,H22&lt;&gt;"Completed")),"Critical",IF(OR(AND(N22&gt;=1,N22&lt;=7,H22&lt;&gt;"Completed"),AND(O22&gt;7,H22&lt;&gt;"Completed")),"Warning","Normal"))</x:f>
        <x:v>Critical</x:v>
      </x:c>
      <x:c r="R22" s="90" t="str">
        <x:f>IF(AND(I22="High",N22&gt;7,H22&lt;&gt;"Completed"),"High-priority activity overdue by more than 7 days",IF(H22="On Hold","Activity is on hold",IF(AND(O22&gt;7,H22&lt;&gt;"Completed"),"Open activity has a stale update (&gt;7 days)",IF(AND(N22&gt;=1,N22&lt;=7,H22&lt;&gt;"Completed"),"Open activity overdue by 1-7 days",""))))</x:f>
        <x:v>High-priority activity overdue by more than 7 days</x:v>
      </x:c>
    </x:row>
    <x:row r="23">
      <x:c r="A23" s="84" t="str">
        <x:v>ACT-0019</x:v>
      </x:c>
      <x:c r="B23" s="85" t="str">
        <x:v>Construction</x:v>
      </x:c>
      <x:c r="C23" s="85" t="str">
        <x:v>CONST-B</x:v>
      </x:c>
      <x:c r="D23" s="85" t="str">
        <x:v>Punch Clearance</x:v>
      </x:c>
      <x:c r="E23" s="86" t="n">
        <x:v>46234</x:v>
      </x:c>
      <x:c r="F23" s="86" t="n">
        <x:v>46262</x:v>
      </x:c>
      <x:c r="G23" s="86" t="n">
        <x:v>46264</x:v>
      </x:c>
      <x:c r="H23" s="85" t="str">
        <x:v>Completed</x:v>
      </x:c>
      <x:c r="I23" s="85" t="str">
        <x:v>High</x:v>
      </x:c>
      <x:c r="J23" s="87" t="n">
        <x:v>100</x:v>
      </x:c>
      <x:c r="K23" s="85" t="str">
        <x:v>None</x:v>
      </x:c>
      <x:c r="L23" s="86" t="n">
        <x:v>46261</x:v>
      </x:c>
      <x:c r="M23" s="85" t="str">
        <x:v>Team Lead F</x:v>
      </x:c>
      <x:c r="N23" s="88" t="n">
        <x:f>IF(AND(H23&lt;&gt;"Completed",F23&lt;'Summary'!$B$3),'Summary'!$B$3-F23,0)</x:f>
        <x:v>0</x:v>
      </x:c>
      <x:c r="O23" s="88" t="n">
        <x:f>'Summary'!$B$3-L23</x:f>
        <x:v>5</x:v>
      </x:c>
      <x:c r="P23" s="88" t="n">
        <x:f>IF(AND(H23="Completed",G23&lt;&gt;"",F23&lt;&gt;""),G23-F23,"")</x:f>
        <x:v>2</x:v>
      </x:c>
      <x:c r="Q23" s="89" t="str">
        <x:f>IF(OR(H23="On Hold",AND(I23="High",N23&gt;7,H23&lt;&gt;"Completed")),"Critical",IF(OR(AND(N23&gt;=1,N23&lt;=7,H23&lt;&gt;"Completed"),AND(O23&gt;7,H23&lt;&gt;"Completed")),"Warning","Normal"))</x:f>
        <x:v>Normal</x:v>
      </x:c>
      <x:c r="R23" s="90" t="str">
        <x:f>IF(AND(I23="High",N23&gt;7,H23&lt;&gt;"Completed"),"High-priority activity overdue by more than 7 days",IF(H23="On Hold","Activity is on hold",IF(AND(O23&gt;7,H23&lt;&gt;"Completed"),"Open activity has a stale update (&gt;7 days)",IF(AND(N23&gt;=1,N23&lt;=7,H23&lt;&gt;"Completed"),"Open activity overdue by 1-7 days",""))))</x:f>
      </x:c>
    </x:row>
    <x:row r="24">
      <x:c r="A24" s="84" t="str">
        <x:v>ACT-0020</x:v>
      </x:c>
      <x:c r="B24" s="85" t="str">
        <x:v>Engineering</x:v>
      </x:c>
      <x:c r="C24" s="85" t="str">
        <x:v>ENG-A</x:v>
      </x:c>
      <x:c r="D24" s="85" t="str">
        <x:v>Drawing Review</x:v>
      </x:c>
      <x:c r="E24" s="86" t="n">
        <x:v>46225</x:v>
      </x:c>
      <x:c r="F24" s="86" t="n">
        <x:v>46251</x:v>
      </x:c>
      <x:c r="G24" s="86" t="n">
        <x:v>46253</x:v>
      </x:c>
      <x:c r="H24" s="85" t="str">
        <x:v>Completed</x:v>
      </x:c>
      <x:c r="I24" s="85" t="str">
        <x:v>Low</x:v>
      </x:c>
      <x:c r="J24" s="87" t="n">
        <x:v>100</x:v>
      </x:c>
      <x:c r="K24" s="85" t="str">
        <x:v>None</x:v>
      </x:c>
      <x:c r="L24" s="86" t="n">
        <x:v>46252</x:v>
      </x:c>
      <x:c r="M24" s="85" t="str">
        <x:v>Team Lead D</x:v>
      </x:c>
      <x:c r="N24" s="88" t="n">
        <x:f>IF(AND(H24&lt;&gt;"Completed",F24&lt;'Summary'!$B$3),'Summary'!$B$3-F24,0)</x:f>
        <x:v>0</x:v>
      </x:c>
      <x:c r="O24" s="88" t="n">
        <x:f>'Summary'!$B$3-L24</x:f>
        <x:v>14</x:v>
      </x:c>
      <x:c r="P24" s="88" t="n">
        <x:f>IF(AND(H24="Completed",G24&lt;&gt;"",F24&lt;&gt;""),G24-F24,"")</x:f>
        <x:v>2</x:v>
      </x:c>
      <x:c r="Q24" s="89" t="str">
        <x:f>IF(OR(H24="On Hold",AND(I24="High",N24&gt;7,H24&lt;&gt;"Completed")),"Critical",IF(OR(AND(N24&gt;=1,N24&lt;=7,H24&lt;&gt;"Completed"),AND(O24&gt;7,H24&lt;&gt;"Completed")),"Warning","Normal"))</x:f>
        <x:v>Normal</x:v>
      </x:c>
      <x:c r="R24" s="90" t="str">
        <x:f>IF(AND(I24="High",N24&gt;7,H24&lt;&gt;"Completed"),"High-priority activity overdue by more than 7 days",IF(H24="On Hold","Activity is on hold",IF(AND(O24&gt;7,H24&lt;&gt;"Completed"),"Open activity has a stale update (&gt;7 days)",IF(AND(N24&gt;=1,N24&lt;=7,H24&lt;&gt;"Completed"),"Open activity overdue by 1-7 days",""))))</x:f>
      </x:c>
    </x:row>
    <x:row r="25">
      <x:c r="A25" s="84" t="str">
        <x:v>ACT-0021</x:v>
      </x:c>
      <x:c r="B25" s="85" t="str">
        <x:v>Engineering</x:v>
      </x:c>
      <x:c r="C25" s="85" t="str">
        <x:v>ENG-A</x:v>
      </x:c>
      <x:c r="D25" s="85" t="str">
        <x:v>Technical Query</x:v>
      </x:c>
      <x:c r="E25" s="86" t="n">
        <x:v>46233</x:v>
      </x:c>
      <x:c r="F25" s="86" t="n">
        <x:v>46243</x:v>
      </x:c>
      <x:c r="G25" s="86"/>
      <x:c r="H25" s="85" t="str">
        <x:v>In Progress</x:v>
      </x:c>
      <x:c r="I25" s="85" t="str">
        <x:v>High</x:v>
      </x:c>
      <x:c r="J25" s="87" t="n">
        <x:v>95</x:v>
      </x:c>
      <x:c r="K25" s="85" t="str">
        <x:v>Documentation</x:v>
      </x:c>
      <x:c r="L25" s="86" t="n">
        <x:v>46253</x:v>
      </x:c>
      <x:c r="M25" s="85" t="str">
        <x:v>Team Lead A</x:v>
      </x:c>
      <x:c r="N25" s="88" t="n">
        <x:f>IF(AND(H25&lt;&gt;"Completed",F25&lt;'Summary'!$B$3),'Summary'!$B$3-F25,0)</x:f>
        <x:v>23</x:v>
      </x:c>
      <x:c r="O25" s="88" t="n">
        <x:f>'Summary'!$B$3-L25</x:f>
        <x:v>13</x:v>
      </x:c>
      <x:c r="P25" s="88" t="str">
        <x:f>IF(AND(H25="Completed",G25&lt;&gt;"",F25&lt;&gt;""),G25-F25,"")</x:f>
      </x:c>
      <x:c r="Q25" s="89" t="str">
        <x:f>IF(OR(H25="On Hold",AND(I25="High",N25&gt;7,H25&lt;&gt;"Completed")),"Critical",IF(OR(AND(N25&gt;=1,N25&lt;=7,H25&lt;&gt;"Completed"),AND(O25&gt;7,H25&lt;&gt;"Completed")),"Warning","Normal"))</x:f>
        <x:v>Critical</x:v>
      </x:c>
      <x:c r="R25" s="90" t="str">
        <x:f>IF(AND(I25="High",N25&gt;7,H25&lt;&gt;"Completed"),"High-priority activity overdue by more than 7 days",IF(H25="On Hold","Activity is on hold",IF(AND(O25&gt;7,H25&lt;&gt;"Completed"),"Open activity has a stale update (&gt;7 days)",IF(AND(N25&gt;=1,N25&lt;=7,H25&lt;&gt;"Completed"),"Open activity overdue by 1-7 days",""))))</x:f>
        <x:v>High-priority activity overdue by more than 7 days</x:v>
      </x:c>
    </x:row>
    <x:row r="26">
      <x:c r="A26" s="84" t="str">
        <x:v>ACT-0022</x:v>
      </x:c>
      <x:c r="B26" s="85" t="str">
        <x:v>Engineering</x:v>
      </x:c>
      <x:c r="C26" s="85" t="str">
        <x:v>ENG-A</x:v>
      </x:c>
      <x:c r="D26" s="85" t="str">
        <x:v>Drawing Review</x:v>
      </x:c>
      <x:c r="E26" s="86" t="n">
        <x:v>46204</x:v>
      </x:c>
      <x:c r="F26" s="86" t="n">
        <x:v>46212</x:v>
      </x:c>
      <x:c r="G26" s="86" t="n">
        <x:v>46219</x:v>
      </x:c>
      <x:c r="H26" s="85" t="str">
        <x:v>Completed</x:v>
      </x:c>
      <x:c r="I26" s="85" t="str">
        <x:v>Medium</x:v>
      </x:c>
      <x:c r="J26" s="87" t="n">
        <x:v>100</x:v>
      </x:c>
      <x:c r="K26" s="85" t="str">
        <x:v>None</x:v>
      </x:c>
      <x:c r="L26" s="86" t="n">
        <x:v>46219</x:v>
      </x:c>
      <x:c r="M26" s="85" t="str">
        <x:v>Team Lead A</x:v>
      </x:c>
      <x:c r="N26" s="88" t="n">
        <x:f>IF(AND(H26&lt;&gt;"Completed",F26&lt;'Summary'!$B$3),'Summary'!$B$3-F26,0)</x:f>
        <x:v>0</x:v>
      </x:c>
      <x:c r="O26" s="88" t="n">
        <x:f>'Summary'!$B$3-L26</x:f>
        <x:v>47</x:v>
      </x:c>
      <x:c r="P26" s="88" t="n">
        <x:f>IF(AND(H26="Completed",G26&lt;&gt;"",F26&lt;&gt;""),G26-F26,"")</x:f>
        <x:v>7</x:v>
      </x:c>
      <x:c r="Q26" s="89" t="str">
        <x:f>IF(OR(H26="On Hold",AND(I26="High",N26&gt;7,H26&lt;&gt;"Completed")),"Critical",IF(OR(AND(N26&gt;=1,N26&lt;=7,H26&lt;&gt;"Completed"),AND(O26&gt;7,H26&lt;&gt;"Completed")),"Warning","Normal"))</x:f>
        <x:v>Normal</x:v>
      </x:c>
      <x:c r="R26" s="90" t="str">
        <x:f>IF(AND(I26="High",N26&gt;7,H26&lt;&gt;"Completed"),"High-priority activity overdue by more than 7 days",IF(H26="On Hold","Activity is on hold",IF(AND(O26&gt;7,H26&lt;&gt;"Completed"),"Open activity has a stale update (&gt;7 days)",IF(AND(N26&gt;=1,N26&lt;=7,H26&lt;&gt;"Completed"),"Open activity overdue by 1-7 days",""))))</x:f>
      </x:c>
    </x:row>
    <x:row r="27">
      <x:c r="A27" s="84" t="str">
        <x:v>ACT-0023</x:v>
      </x:c>
      <x:c r="B27" s="85" t="str">
        <x:v>Procurement</x:v>
      </x:c>
      <x:c r="C27" s="85" t="str">
        <x:v>PROC-A</x:v>
      </x:c>
      <x:c r="D27" s="85" t="str">
        <x:v>Vendor Follow-up</x:v>
      </x:c>
      <x:c r="E27" s="86" t="n">
        <x:v>46210</x:v>
      </x:c>
      <x:c r="F27" s="86" t="n">
        <x:v>46226</x:v>
      </x:c>
      <x:c r="G27" s="86" t="n">
        <x:v>46238</x:v>
      </x:c>
      <x:c r="H27" s="85" t="str">
        <x:v>Completed</x:v>
      </x:c>
      <x:c r="I27" s="85" t="str">
        <x:v>Medium</x:v>
      </x:c>
      <x:c r="J27" s="87" t="n">
        <x:v>100</x:v>
      </x:c>
      <x:c r="K27" s="85" t="str">
        <x:v>None</x:v>
      </x:c>
      <x:c r="L27" s="86" t="n">
        <x:v>46235</x:v>
      </x:c>
      <x:c r="M27" s="85" t="str">
        <x:v>Team Lead C</x:v>
      </x:c>
      <x:c r="N27" s="88" t="n">
        <x:f>IF(AND(H27&lt;&gt;"Completed",F27&lt;'Summary'!$B$3),'Summary'!$B$3-F27,0)</x:f>
        <x:v>0</x:v>
      </x:c>
      <x:c r="O27" s="88" t="n">
        <x:f>'Summary'!$B$3-L27</x:f>
        <x:v>31</x:v>
      </x:c>
      <x:c r="P27" s="88" t="n">
        <x:f>IF(AND(H27="Completed",G27&lt;&gt;"",F27&lt;&gt;""),G27-F27,"")</x:f>
        <x:v>12</x:v>
      </x:c>
      <x:c r="Q27" s="89" t="str">
        <x:f>IF(OR(H27="On Hold",AND(I27="High",N27&gt;7,H27&lt;&gt;"Completed")),"Critical",IF(OR(AND(N27&gt;=1,N27&lt;=7,H27&lt;&gt;"Completed"),AND(O27&gt;7,H27&lt;&gt;"Completed")),"Warning","Normal"))</x:f>
        <x:v>Normal</x:v>
      </x:c>
      <x:c r="R27" s="90" t="str">
        <x:f>IF(AND(I27="High",N27&gt;7,H27&lt;&gt;"Completed"),"High-priority activity overdue by more than 7 days",IF(H27="On Hold","Activity is on hold",IF(AND(O27&gt;7,H27&lt;&gt;"Completed"),"Open activity has a stale update (&gt;7 days)",IF(AND(N27&gt;=1,N27&lt;=7,H27&lt;&gt;"Completed"),"Open activity overdue by 1-7 days",""))))</x:f>
      </x:c>
    </x:row>
    <x:row r="28">
      <x:c r="A28" s="84" t="str">
        <x:v>ACT-0024</x:v>
      </x:c>
      <x:c r="B28" s="85" t="str">
        <x:v>Engineering</x:v>
      </x:c>
      <x:c r="C28" s="85" t="str">
        <x:v>ENG-A</x:v>
      </x:c>
      <x:c r="D28" s="85" t="str">
        <x:v>Drawing Review</x:v>
      </x:c>
      <x:c r="E28" s="86" t="n">
        <x:v>46214</x:v>
      </x:c>
      <x:c r="F28" s="86" t="n">
        <x:v>46218</x:v>
      </x:c>
      <x:c r="G28" s="86" t="n">
        <x:v>46229</x:v>
      </x:c>
      <x:c r="H28" s="85" t="str">
        <x:v>Completed</x:v>
      </x:c>
      <x:c r="I28" s="85" t="str">
        <x:v>Medium</x:v>
      </x:c>
      <x:c r="J28" s="87" t="n">
        <x:v>100</x:v>
      </x:c>
      <x:c r="K28" s="85" t="str">
        <x:v>None</x:v>
      </x:c>
      <x:c r="L28" s="86" t="n">
        <x:v>46228</x:v>
      </x:c>
      <x:c r="M28" s="85" t="str">
        <x:v>Team Lead E</x:v>
      </x:c>
      <x:c r="N28" s="88" t="n">
        <x:f>IF(AND(H28&lt;&gt;"Completed",F28&lt;'Summary'!$B$3),'Summary'!$B$3-F28,0)</x:f>
        <x:v>0</x:v>
      </x:c>
      <x:c r="O28" s="88" t="n">
        <x:f>'Summary'!$B$3-L28</x:f>
        <x:v>38</x:v>
      </x:c>
      <x:c r="P28" s="88" t="n">
        <x:f>IF(AND(H28="Completed",G28&lt;&gt;"",F28&lt;&gt;""),G28-F28,"")</x:f>
        <x:v>11</x:v>
      </x:c>
      <x:c r="Q28" s="89" t="str">
        <x:f>IF(OR(H28="On Hold",AND(I28="High",N28&gt;7,H28&lt;&gt;"Completed")),"Critical",IF(OR(AND(N28&gt;=1,N28&lt;=7,H28&lt;&gt;"Completed"),AND(O28&gt;7,H28&lt;&gt;"Completed")),"Warning","Normal"))</x:f>
        <x:v>Normal</x:v>
      </x:c>
      <x:c r="R28" s="90" t="str">
        <x:f>IF(AND(I28="High",N28&gt;7,H28&lt;&gt;"Completed"),"High-priority activity overdue by more than 7 days",IF(H28="On Hold","Activity is on hold",IF(AND(O28&gt;7,H28&lt;&gt;"Completed"),"Open activity has a stale update (&gt;7 days)",IF(AND(N28&gt;=1,N28&lt;=7,H28&lt;&gt;"Completed"),"Open activity overdue by 1-7 days",""))))</x:f>
      </x:c>
    </x:row>
    <x:row r="29">
      <x:c r="A29" s="84" t="str">
        <x:v>ACT-0025</x:v>
      </x:c>
      <x:c r="B29" s="85" t="str">
        <x:v>Engineering</x:v>
      </x:c>
      <x:c r="C29" s="85" t="str">
        <x:v>ENG-A</x:v>
      </x:c>
      <x:c r="D29" s="85" t="str">
        <x:v>Drawing Review</x:v>
      </x:c>
      <x:c r="E29" s="86" t="n">
        <x:v>46250</x:v>
      </x:c>
      <x:c r="F29" s="86" t="n">
        <x:v>46255</x:v>
      </x:c>
      <x:c r="G29" s="86"/>
      <x:c r="H29" s="85" t="str">
        <x:v>In Progress</x:v>
      </x:c>
      <x:c r="I29" s="85" t="str">
        <x:v>Medium</x:v>
      </x:c>
      <x:c r="J29" s="87" t="n">
        <x:v>35</x:v>
      </x:c>
      <x:c r="K29" s="85" t="str">
        <x:v>Material Delay</x:v>
      </x:c>
      <x:c r="L29" s="86" t="n">
        <x:v>46252</x:v>
      </x:c>
      <x:c r="M29" s="85" t="str">
        <x:v>Team Lead E</x:v>
      </x:c>
      <x:c r="N29" s="88" t="n">
        <x:f>IF(AND(H29&lt;&gt;"Completed",F29&lt;'Summary'!$B$3),'Summary'!$B$3-F29,0)</x:f>
        <x:v>11</x:v>
      </x:c>
      <x:c r="O29" s="88" t="n">
        <x:f>'Summary'!$B$3-L29</x:f>
        <x:v>14</x:v>
      </x:c>
      <x:c r="P29" s="88" t="str">
        <x:f>IF(AND(H29="Completed",G29&lt;&gt;"",F29&lt;&gt;""),G29-F29,"")</x:f>
      </x:c>
      <x:c r="Q29" s="89" t="str">
        <x:f>IF(OR(H29="On Hold",AND(I29="High",N29&gt;7,H29&lt;&gt;"Completed")),"Critical",IF(OR(AND(N29&gt;=1,N29&lt;=7,H29&lt;&gt;"Completed"),AND(O29&gt;7,H29&lt;&gt;"Completed")),"Warning","Normal"))</x:f>
        <x:v>Warning</x:v>
      </x:c>
      <x:c r="R29" s="90" t="str">
        <x:f>IF(AND(I29="High",N29&gt;7,H29&lt;&gt;"Completed"),"High-priority activity overdue by more than 7 days",IF(H29="On Hold","Activity is on hold",IF(AND(O29&gt;7,H29&lt;&gt;"Completed"),"Open activity has a stale update (&gt;7 days)",IF(AND(N29&gt;=1,N29&lt;=7,H29&lt;&gt;"Completed"),"Open activity overdue by 1-7 days",""))))</x:f>
        <x:v>Open activity has a stale update (&gt;7 days)</x:v>
      </x:c>
    </x:row>
    <x:row r="30">
      <x:c r="A30" s="84" t="str">
        <x:v>ACT-0026</x:v>
      </x:c>
      <x:c r="B30" s="85" t="str">
        <x:v>Construction</x:v>
      </x:c>
      <x:c r="C30" s="85" t="str">
        <x:v>CONST-A</x:v>
      </x:c>
      <x:c r="D30" s="85" t="str">
        <x:v>Site Preparation</x:v>
      </x:c>
      <x:c r="E30" s="86" t="n">
        <x:v>46258</x:v>
      </x:c>
      <x:c r="F30" s="86" t="n">
        <x:v>46279</x:v>
      </x:c>
      <x:c r="G30" s="86"/>
      <x:c r="H30" s="85" t="str">
        <x:v>In Progress</x:v>
      </x:c>
      <x:c r="I30" s="85" t="str">
        <x:v>Medium</x:v>
      </x:c>
      <x:c r="J30" s="87" t="n">
        <x:v>55</x:v>
      </x:c>
      <x:c r="K30" s="85" t="str">
        <x:v>Manpower</x:v>
      </x:c>
      <x:c r="L30" s="86" t="n">
        <x:v>46263</x:v>
      </x:c>
      <x:c r="M30" s="85" t="str">
        <x:v>Team Lead C</x:v>
      </x:c>
      <x:c r="N30" s="88" t="n">
        <x:f>IF(AND(H30&lt;&gt;"Completed",F30&lt;'Summary'!$B$3),'Summary'!$B$3-F30,0)</x:f>
        <x:v>0</x:v>
      </x:c>
      <x:c r="O30" s="88" t="n">
        <x:f>'Summary'!$B$3-L30</x:f>
        <x:v>3</x:v>
      </x:c>
      <x:c r="P30" s="88" t="str">
        <x:f>IF(AND(H30="Completed",G30&lt;&gt;"",F30&lt;&gt;""),G30-F30,"")</x:f>
      </x:c>
      <x:c r="Q30" s="89" t="str">
        <x:f>IF(OR(H30="On Hold",AND(I30="High",N30&gt;7,H30&lt;&gt;"Completed")),"Critical",IF(OR(AND(N30&gt;=1,N30&lt;=7,H30&lt;&gt;"Completed"),AND(O30&gt;7,H30&lt;&gt;"Completed")),"Warning","Normal"))</x:f>
        <x:v>Normal</x:v>
      </x:c>
      <x:c r="R30" s="90" t="str">
        <x:f>IF(AND(I30="High",N30&gt;7,H30&lt;&gt;"Completed"),"High-priority activity overdue by more than 7 days",IF(H30="On Hold","Activity is on hold",IF(AND(O30&gt;7,H30&lt;&gt;"Completed"),"Open activity has a stale update (&gt;7 days)",IF(AND(N30&gt;=1,N30&lt;=7,H30&lt;&gt;"Completed"),"Open activity overdue by 1-7 days",""))))</x:f>
      </x:c>
    </x:row>
    <x:row r="31">
      <x:c r="A31" s="84" t="str">
        <x:v>ACT-0027</x:v>
      </x:c>
      <x:c r="B31" s="85" t="str">
        <x:v>Engineering</x:v>
      </x:c>
      <x:c r="C31" s="85" t="str">
        <x:v>ENG-B</x:v>
      </x:c>
      <x:c r="D31" s="85" t="str">
        <x:v>RFI Closure</x:v>
      </x:c>
      <x:c r="E31" s="86" t="n">
        <x:v>46259</x:v>
      </x:c>
      <x:c r="F31" s="86" t="n">
        <x:v>46282</x:v>
      </x:c>
      <x:c r="G31" s="86"/>
      <x:c r="H31" s="85" t="str">
        <x:v>In Progress</x:v>
      </x:c>
      <x:c r="I31" s="85" t="str">
        <x:v>Medium</x:v>
      </x:c>
      <x:c r="J31" s="87" t="n">
        <x:v>95</x:v>
      </x:c>
      <x:c r="K31" s="85" t="str">
        <x:v>None</x:v>
      </x:c>
      <x:c r="L31" s="86" t="n">
        <x:v>46252</x:v>
      </x:c>
      <x:c r="M31" s="85" t="str">
        <x:v>Team Lead D</x:v>
      </x:c>
      <x:c r="N31" s="88" t="n">
        <x:f>IF(AND(H31&lt;&gt;"Completed",F31&lt;'Summary'!$B$3),'Summary'!$B$3-F31,0)</x:f>
        <x:v>0</x:v>
      </x:c>
      <x:c r="O31" s="88" t="n">
        <x:f>'Summary'!$B$3-L31</x:f>
        <x:v>14</x:v>
      </x:c>
      <x:c r="P31" s="88" t="str">
        <x:f>IF(AND(H31="Completed",G31&lt;&gt;"",F31&lt;&gt;""),G31-F31,"")</x:f>
      </x:c>
      <x:c r="Q31" s="89" t="str">
        <x:f>IF(OR(H31="On Hold",AND(I31="High",N31&gt;7,H31&lt;&gt;"Completed")),"Critical",IF(OR(AND(N31&gt;=1,N31&lt;=7,H31&lt;&gt;"Completed"),AND(O31&gt;7,H31&lt;&gt;"Completed")),"Warning","Normal"))</x:f>
        <x:v>Warning</x:v>
      </x:c>
      <x:c r="R31" s="90" t="str">
        <x:f>IF(AND(I31="High",N31&gt;7,H31&lt;&gt;"Completed"),"High-priority activity overdue by more than 7 days",IF(H31="On Hold","Activity is on hold",IF(AND(O31&gt;7,H31&lt;&gt;"Completed"),"Open activity has a stale update (&gt;7 days)",IF(AND(N31&gt;=1,N31&lt;=7,H31&lt;&gt;"Completed"),"Open activity overdue by 1-7 days",""))))</x:f>
        <x:v>Open activity has a stale update (&gt;7 days)</x:v>
      </x:c>
    </x:row>
    <x:row r="32">
      <x:c r="A32" s="84" t="str">
        <x:v>ACT-0028</x:v>
      </x:c>
      <x:c r="B32" s="85" t="str">
        <x:v>Construction</x:v>
      </x:c>
      <x:c r="C32" s="85" t="str">
        <x:v>CONST-A</x:v>
      </x:c>
      <x:c r="D32" s="85" t="str">
        <x:v>Field Installation</x:v>
      </x:c>
      <x:c r="E32" s="86" t="n">
        <x:v>46242</x:v>
      </x:c>
      <x:c r="F32" s="86" t="n">
        <x:v>46251</x:v>
      </x:c>
      <x:c r="G32" s="86"/>
      <x:c r="H32" s="85" t="str">
        <x:v>In Progress</x:v>
      </x:c>
      <x:c r="I32" s="85" t="str">
        <x:v>High</x:v>
      </x:c>
      <x:c r="J32" s="87" t="n">
        <x:v>60</x:v>
      </x:c>
      <x:c r="K32" s="85" t="str">
        <x:v>None</x:v>
      </x:c>
      <x:c r="L32" s="86" t="n">
        <x:v>46252</x:v>
      </x:c>
      <x:c r="M32" s="85" t="str">
        <x:v>Team Lead B</x:v>
      </x:c>
      <x:c r="N32" s="88" t="n">
        <x:f>IF(AND(H32&lt;&gt;"Completed",F32&lt;'Summary'!$B$3),'Summary'!$B$3-F32,0)</x:f>
        <x:v>15</x:v>
      </x:c>
      <x:c r="O32" s="88" t="n">
        <x:f>'Summary'!$B$3-L32</x:f>
        <x:v>14</x:v>
      </x:c>
      <x:c r="P32" s="88" t="str">
        <x:f>IF(AND(H32="Completed",G32&lt;&gt;"",F32&lt;&gt;""),G32-F32,"")</x:f>
      </x:c>
      <x:c r="Q32" s="89" t="str">
        <x:f>IF(OR(H32="On Hold",AND(I32="High",N32&gt;7,H32&lt;&gt;"Completed")),"Critical",IF(OR(AND(N32&gt;=1,N32&lt;=7,H32&lt;&gt;"Completed"),AND(O32&gt;7,H32&lt;&gt;"Completed")),"Warning","Normal"))</x:f>
        <x:v>Critical</x:v>
      </x:c>
      <x:c r="R32" s="90" t="str">
        <x:f>IF(AND(I32="High",N32&gt;7,H32&lt;&gt;"Completed"),"High-priority activity overdue by more than 7 days",IF(H32="On Hold","Activity is on hold",IF(AND(O32&gt;7,H32&lt;&gt;"Completed"),"Open activity has a stale update (&gt;7 days)",IF(AND(N32&gt;=1,N32&lt;=7,H32&lt;&gt;"Completed"),"Open activity overdue by 1-7 days",""))))</x:f>
        <x:v>High-priority activity overdue by more than 7 days</x:v>
      </x:c>
    </x:row>
    <x:row r="33">
      <x:c r="A33" s="84" t="str">
        <x:v>ACT-0029</x:v>
      </x:c>
      <x:c r="B33" s="85" t="str">
        <x:v>QA/QC</x:v>
      </x:c>
      <x:c r="C33" s="85" t="str">
        <x:v>QA-A</x:v>
      </x:c>
      <x:c r="D33" s="85" t="str">
        <x:v>Quality Review</x:v>
      </x:c>
      <x:c r="E33" s="86" t="n">
        <x:v>46243</x:v>
      </x:c>
      <x:c r="F33" s="86" t="n">
        <x:v>46268</x:v>
      </x:c>
      <x:c r="G33" s="86"/>
      <x:c r="H33" s="85" t="str">
        <x:v>In Progress</x:v>
      </x:c>
      <x:c r="I33" s="85" t="str">
        <x:v>Low</x:v>
      </x:c>
      <x:c r="J33" s="87" t="n">
        <x:v>95</x:v>
      </x:c>
      <x:c r="K33" s="85" t="str">
        <x:v>Material Delay</x:v>
      </x:c>
      <x:c r="L33" s="86" t="n">
        <x:v>46256</x:v>
      </x:c>
      <x:c r="M33" s="85" t="str">
        <x:v>Team Lead F</x:v>
      </x:c>
      <x:c r="N33" s="88" t="n">
        <x:f>IF(AND(H33&lt;&gt;"Completed",F33&lt;'Summary'!$B$3),'Summary'!$B$3-F33,0)</x:f>
        <x:v>0</x:v>
      </x:c>
      <x:c r="O33" s="88" t="n">
        <x:f>'Summary'!$B$3-L33</x:f>
        <x:v>10</x:v>
      </x:c>
      <x:c r="P33" s="88" t="str">
        <x:f>IF(AND(H33="Completed",G33&lt;&gt;"",F33&lt;&gt;""),G33-F33,"")</x:f>
      </x:c>
      <x:c r="Q33" s="89" t="str">
        <x:f>IF(OR(H33="On Hold",AND(I33="High",N33&gt;7,H33&lt;&gt;"Completed")),"Critical",IF(OR(AND(N33&gt;=1,N33&lt;=7,H33&lt;&gt;"Completed"),AND(O33&gt;7,H33&lt;&gt;"Completed")),"Warning","Normal"))</x:f>
        <x:v>Warning</x:v>
      </x:c>
      <x:c r="R33" s="90" t="str">
        <x:f>IF(AND(I33="High",N33&gt;7,H33&lt;&gt;"Completed"),"High-priority activity overdue by more than 7 days",IF(H33="On Hold","Activity is on hold",IF(AND(O33&gt;7,H33&lt;&gt;"Completed"),"Open activity has a stale update (&gt;7 days)",IF(AND(N33&gt;=1,N33&lt;=7,H33&lt;&gt;"Completed"),"Open activity overdue by 1-7 days",""))))</x:f>
        <x:v>Open activity has a stale update (&gt;7 days)</x:v>
      </x:c>
    </x:row>
    <x:row r="34">
      <x:c r="A34" s="84" t="str">
        <x:v>ACT-0030</x:v>
      </x:c>
      <x:c r="B34" s="85" t="str">
        <x:v>Project Controls</x:v>
      </x:c>
      <x:c r="C34" s="85" t="str">
        <x:v>PC-A</x:v>
      </x:c>
      <x:c r="D34" s="85" t="str">
        <x:v>KPI Update</x:v>
      </x:c>
      <x:c r="E34" s="86" t="n">
        <x:v>46187</x:v>
      </x:c>
      <x:c r="F34" s="86" t="n">
        <x:v>46194</x:v>
      </x:c>
      <x:c r="G34" s="86" t="n">
        <x:v>46206</x:v>
      </x:c>
      <x:c r="H34" s="85" t="str">
        <x:v>Completed</x:v>
      </x:c>
      <x:c r="I34" s="85" t="str">
        <x:v>Low</x:v>
      </x:c>
      <x:c r="J34" s="87" t="n">
        <x:v>100</x:v>
      </x:c>
      <x:c r="K34" s="85" t="str">
        <x:v>None</x:v>
      </x:c>
      <x:c r="L34" s="86" t="n">
        <x:v>46205</x:v>
      </x:c>
      <x:c r="M34" s="85" t="str">
        <x:v>Team Lead E</x:v>
      </x:c>
      <x:c r="N34" s="88" t="n">
        <x:f>IF(AND(H34&lt;&gt;"Completed",F34&lt;'Summary'!$B$3),'Summary'!$B$3-F34,0)</x:f>
        <x:v>0</x:v>
      </x:c>
      <x:c r="O34" s="88" t="n">
        <x:f>'Summary'!$B$3-L34</x:f>
        <x:v>61</x:v>
      </x:c>
      <x:c r="P34" s="88" t="n">
        <x:f>IF(AND(H34="Completed",G34&lt;&gt;"",F34&lt;&gt;""),G34-F34,"")</x:f>
        <x:v>12</x:v>
      </x:c>
      <x:c r="Q34" s="89" t="str">
        <x:f>IF(OR(H34="On Hold",AND(I34="High",N34&gt;7,H34&lt;&gt;"Completed")),"Critical",IF(OR(AND(N34&gt;=1,N34&lt;=7,H34&lt;&gt;"Completed"),AND(O34&gt;7,H34&lt;&gt;"Completed")),"Warning","Normal"))</x:f>
        <x:v>Normal</x:v>
      </x:c>
      <x:c r="R34" s="90" t="str">
        <x:f>IF(AND(I34="High",N34&gt;7,H34&lt;&gt;"Completed"),"High-priority activity overdue by more than 7 days",IF(H34="On Hold","Activity is on hold",IF(AND(O34&gt;7,H34&lt;&gt;"Completed"),"Open activity has a stale update (&gt;7 days)",IF(AND(N34&gt;=1,N34&lt;=7,H34&lt;&gt;"Completed"),"Open activity overdue by 1-7 days",""))))</x:f>
      </x:c>
    </x:row>
    <x:row r="35">
      <x:c r="A35" s="84" t="str">
        <x:v>ACT-0031</x:v>
      </x:c>
      <x:c r="B35" s="85" t="str">
        <x:v>Engineering</x:v>
      </x:c>
      <x:c r="C35" s="85" t="str">
        <x:v>ENG-B</x:v>
      </x:c>
      <x:c r="D35" s="85" t="str">
        <x:v>RFI Closure</x:v>
      </x:c>
      <x:c r="E35" s="86" t="n">
        <x:v>46261</x:v>
      </x:c>
      <x:c r="F35" s="86" t="n">
        <x:v>46284</x:v>
      </x:c>
      <x:c r="G35" s="86"/>
      <x:c r="H35" s="85" t="str">
        <x:v>Not Started</x:v>
      </x:c>
      <x:c r="I35" s="85" t="str">
        <x:v>Medium</x:v>
      </x:c>
      <x:c r="J35" s="87" t="n">
        <x:v>0</x:v>
      </x:c>
      <x:c r="K35" s="85" t="str">
        <x:v>None</x:v>
      </x:c>
      <x:c r="L35" s="86" t="n">
        <x:v>46262</x:v>
      </x:c>
      <x:c r="M35" s="85" t="str">
        <x:v>Team Lead D</x:v>
      </x:c>
      <x:c r="N35" s="88" t="n">
        <x:f>IF(AND(H35&lt;&gt;"Completed",F35&lt;'Summary'!$B$3),'Summary'!$B$3-F35,0)</x:f>
        <x:v>0</x:v>
      </x:c>
      <x:c r="O35" s="88" t="n">
        <x:f>'Summary'!$B$3-L35</x:f>
        <x:v>4</x:v>
      </x:c>
      <x:c r="P35" s="88" t="str">
        <x:f>IF(AND(H35="Completed",G35&lt;&gt;"",F35&lt;&gt;""),G35-F35,"")</x:f>
      </x:c>
      <x:c r="Q35" s="89" t="str">
        <x:f>IF(OR(H35="On Hold",AND(I35="High",N35&gt;7,H35&lt;&gt;"Completed")),"Critical",IF(OR(AND(N35&gt;=1,N35&lt;=7,H35&lt;&gt;"Completed"),AND(O35&gt;7,H35&lt;&gt;"Completed")),"Warning","Normal"))</x:f>
        <x:v>Normal</x:v>
      </x:c>
      <x:c r="R35" s="90" t="str">
        <x:f>IF(AND(I35="High",N35&gt;7,H35&lt;&gt;"Completed"),"High-priority activity overdue by more than 7 days",IF(H35="On Hold","Activity is on hold",IF(AND(O35&gt;7,H35&lt;&gt;"Completed"),"Open activity has a stale update (&gt;7 days)",IF(AND(N35&gt;=1,N35&lt;=7,H35&lt;&gt;"Completed"),"Open activity overdue by 1-7 days",""))))</x:f>
      </x:c>
    </x:row>
    <x:row r="36">
      <x:c r="A36" s="84" t="str">
        <x:v>ACT-0032</x:v>
      </x:c>
      <x:c r="B36" s="85" t="str">
        <x:v>Project Controls</x:v>
      </x:c>
      <x:c r="C36" s="85" t="str">
        <x:v>PC-A</x:v>
      </x:c>
      <x:c r="D36" s="85" t="str">
        <x:v>Progress Update</x:v>
      </x:c>
      <x:c r="E36" s="86" t="n">
        <x:v>46216</x:v>
      </x:c>
      <x:c r="F36" s="86" t="n">
        <x:v>46243</x:v>
      </x:c>
      <x:c r="G36" s="86" t="n">
        <x:v>46243</x:v>
      </x:c>
      <x:c r="H36" s="85" t="str">
        <x:v>Completed</x:v>
      </x:c>
      <x:c r="I36" s="85" t="str">
        <x:v>Low</x:v>
      </x:c>
      <x:c r="J36" s="87" t="n">
        <x:v>100</x:v>
      </x:c>
      <x:c r="K36" s="85" t="str">
        <x:v>Approval Delay</x:v>
      </x:c>
      <x:c r="L36" s="86" t="n">
        <x:v>46240</x:v>
      </x:c>
      <x:c r="M36" s="85" t="str">
        <x:v>Team Lead D</x:v>
      </x:c>
      <x:c r="N36" s="88" t="n">
        <x:f>IF(AND(H36&lt;&gt;"Completed",F36&lt;'Summary'!$B$3),'Summary'!$B$3-F36,0)</x:f>
        <x:v>0</x:v>
      </x:c>
      <x:c r="O36" s="88" t="n">
        <x:f>'Summary'!$B$3-L36</x:f>
        <x:v>26</x:v>
      </x:c>
      <x:c r="P36" s="88" t="n">
        <x:f>IF(AND(H36="Completed",G36&lt;&gt;"",F36&lt;&gt;""),G36-F36,"")</x:f>
        <x:v>0</x:v>
      </x:c>
      <x:c r="Q36" s="89" t="str">
        <x:f>IF(OR(H36="On Hold",AND(I36="High",N36&gt;7,H36&lt;&gt;"Completed")),"Critical",IF(OR(AND(N36&gt;=1,N36&lt;=7,H36&lt;&gt;"Completed"),AND(O36&gt;7,H36&lt;&gt;"Completed")),"Warning","Normal"))</x:f>
        <x:v>Normal</x:v>
      </x:c>
      <x:c r="R36" s="90" t="str">
        <x:f>IF(AND(I36="High",N36&gt;7,H36&lt;&gt;"Completed"),"High-priority activity overdue by more than 7 days",IF(H36="On Hold","Activity is on hold",IF(AND(O36&gt;7,H36&lt;&gt;"Completed"),"Open activity has a stale update (&gt;7 days)",IF(AND(N36&gt;=1,N36&lt;=7,H36&lt;&gt;"Completed"),"Open activity overdue by 1-7 days",""))))</x:f>
      </x:c>
    </x:row>
    <x:row r="37">
      <x:c r="A37" s="84" t="str">
        <x:v>ACT-0033</x:v>
      </x:c>
      <x:c r="B37" s="85" t="str">
        <x:v>Construction</x:v>
      </x:c>
      <x:c r="C37" s="85" t="str">
        <x:v>CONST-A</x:v>
      </x:c>
      <x:c r="D37" s="85" t="str">
        <x:v>Field Installation</x:v>
      </x:c>
      <x:c r="E37" s="86" t="n">
        <x:v>46262</x:v>
      </x:c>
      <x:c r="F37" s="86" t="n">
        <x:v>46269</x:v>
      </x:c>
      <x:c r="G37" s="86"/>
      <x:c r="H37" s="85" t="str">
        <x:v>In Progress</x:v>
      </x:c>
      <x:c r="I37" s="85" t="str">
        <x:v>Low</x:v>
      </x:c>
      <x:c r="J37" s="87" t="n">
        <x:v>80</x:v>
      </x:c>
      <x:c r="K37" s="85" t="str">
        <x:v>None</x:v>
      </x:c>
      <x:c r="L37" s="86" t="n">
        <x:v>46258</x:v>
      </x:c>
      <x:c r="M37" s="85" t="str">
        <x:v>Team Lead B</x:v>
      </x:c>
      <x:c r="N37" s="88" t="n">
        <x:f>IF(AND(H37&lt;&gt;"Completed",F37&lt;'Summary'!$B$3),'Summary'!$B$3-F37,0)</x:f>
        <x:v>0</x:v>
      </x:c>
      <x:c r="O37" s="88" t="n">
        <x:f>'Summary'!$B$3-L37</x:f>
        <x:v>8</x:v>
      </x:c>
      <x:c r="P37" s="88" t="str">
        <x:f>IF(AND(H37="Completed",G37&lt;&gt;"",F37&lt;&gt;""),G37-F37,"")</x:f>
      </x:c>
      <x:c r="Q37" s="89" t="str">
        <x:f>IF(OR(H37="On Hold",AND(I37="High",N37&gt;7,H37&lt;&gt;"Completed")),"Critical",IF(OR(AND(N37&gt;=1,N37&lt;=7,H37&lt;&gt;"Completed"),AND(O37&gt;7,H37&lt;&gt;"Completed")),"Warning","Normal"))</x:f>
        <x:v>Warning</x:v>
      </x:c>
      <x:c r="R37" s="90" t="str">
        <x:f>IF(AND(I37="High",N37&gt;7,H37&lt;&gt;"Completed"),"High-priority activity overdue by more than 7 days",IF(H37="On Hold","Activity is on hold",IF(AND(O37&gt;7,H37&lt;&gt;"Completed"),"Open activity has a stale update (&gt;7 days)",IF(AND(N37&gt;=1,N37&lt;=7,H37&lt;&gt;"Completed"),"Open activity overdue by 1-7 days",""))))</x:f>
        <x:v>Open activity has a stale update (&gt;7 days)</x:v>
      </x:c>
    </x:row>
    <x:row r="38">
      <x:c r="A38" s="84" t="str">
        <x:v>ACT-0034</x:v>
      </x:c>
      <x:c r="B38" s="85" t="str">
        <x:v>Engineering</x:v>
      </x:c>
      <x:c r="C38" s="85" t="str">
        <x:v>ENG-B</x:v>
      </x:c>
      <x:c r="D38" s="85" t="str">
        <x:v>Drawing Review</x:v>
      </x:c>
      <x:c r="E38" s="86" t="n">
        <x:v>46219</x:v>
      </x:c>
      <x:c r="F38" s="86" t="n">
        <x:v>46228</x:v>
      </x:c>
      <x:c r="G38" s="86" t="n">
        <x:v>46234</x:v>
      </x:c>
      <x:c r="H38" s="85" t="str">
        <x:v>Completed</x:v>
      </x:c>
      <x:c r="I38" s="85" t="str">
        <x:v>Medium</x:v>
      </x:c>
      <x:c r="J38" s="87" t="n">
        <x:v>100</x:v>
      </x:c>
      <x:c r="K38" s="85" t="str">
        <x:v>Documentation</x:v>
      </x:c>
      <x:c r="L38" s="86" t="n">
        <x:v>46230</x:v>
      </x:c>
      <x:c r="M38" s="85" t="str">
        <x:v>Team Lead D</x:v>
      </x:c>
      <x:c r="N38" s="88" t="n">
        <x:f>IF(AND(H38&lt;&gt;"Completed",F38&lt;'Summary'!$B$3),'Summary'!$B$3-F38,0)</x:f>
        <x:v>0</x:v>
      </x:c>
      <x:c r="O38" s="88" t="n">
        <x:f>'Summary'!$B$3-L38</x:f>
        <x:v>36</x:v>
      </x:c>
      <x:c r="P38" s="88" t="n">
        <x:f>IF(AND(H38="Completed",G38&lt;&gt;"",F38&lt;&gt;""),G38-F38,"")</x:f>
        <x:v>6</x:v>
      </x:c>
      <x:c r="Q38" s="89" t="str">
        <x:f>IF(OR(H38="On Hold",AND(I38="High",N38&gt;7,H38&lt;&gt;"Completed")),"Critical",IF(OR(AND(N38&gt;=1,N38&lt;=7,H38&lt;&gt;"Completed"),AND(O38&gt;7,H38&lt;&gt;"Completed")),"Warning","Normal"))</x:f>
        <x:v>Normal</x:v>
      </x:c>
      <x:c r="R38" s="90" t="str">
        <x:f>IF(AND(I38="High",N38&gt;7,H38&lt;&gt;"Completed"),"High-priority activity overdue by more than 7 days",IF(H38="On Hold","Activity is on hold",IF(AND(O38&gt;7,H38&lt;&gt;"Completed"),"Open activity has a stale update (&gt;7 days)",IF(AND(N38&gt;=1,N38&lt;=7,H38&lt;&gt;"Completed"),"Open activity overdue by 1-7 days",""))))</x:f>
      </x:c>
    </x:row>
    <x:row r="39">
      <x:c r="A39" s="84" t="str">
        <x:v>ACT-0035</x:v>
      </x:c>
      <x:c r="B39" s="85" t="str">
        <x:v>Procurement</x:v>
      </x:c>
      <x:c r="C39" s="85" t="str">
        <x:v>PROC-A</x:v>
      </x:c>
      <x:c r="D39" s="85" t="str">
        <x:v>Material Delivery</x:v>
      </x:c>
      <x:c r="E39" s="86" t="n">
        <x:v>46194</x:v>
      </x:c>
      <x:c r="F39" s="86" t="n">
        <x:v>46222</x:v>
      </x:c>
      <x:c r="G39" s="86"/>
      <x:c r="H39" s="85" t="str">
        <x:v>In Progress</x:v>
      </x:c>
      <x:c r="I39" s="85" t="str">
        <x:v>Low</x:v>
      </x:c>
      <x:c r="J39" s="87" t="n">
        <x:v>25</x:v>
      </x:c>
      <x:c r="K39" s="85" t="str">
        <x:v>Rework</x:v>
      </x:c>
      <x:c r="L39" s="86" t="n">
        <x:v>46264</x:v>
      </x:c>
      <x:c r="M39" s="85" t="str">
        <x:v>Team Lead C</x:v>
      </x:c>
      <x:c r="N39" s="88" t="n">
        <x:f>IF(AND(H39&lt;&gt;"Completed",F39&lt;'Summary'!$B$3),'Summary'!$B$3-F39,0)</x:f>
        <x:v>44</x:v>
      </x:c>
      <x:c r="O39" s="88" t="n">
        <x:f>'Summary'!$B$3-L39</x:f>
        <x:v>2</x:v>
      </x:c>
      <x:c r="P39" s="88" t="str">
        <x:f>IF(AND(H39="Completed",G39&lt;&gt;"",F39&lt;&gt;""),G39-F39,"")</x:f>
      </x:c>
      <x:c r="Q39" s="89" t="str">
        <x:f>IF(OR(H39="On Hold",AND(I39="High",N39&gt;7,H39&lt;&gt;"Completed")),"Critical",IF(OR(AND(N39&gt;=1,N39&lt;=7,H39&lt;&gt;"Completed"),AND(O39&gt;7,H39&lt;&gt;"Completed")),"Warning","Normal"))</x:f>
        <x:v>Normal</x:v>
      </x:c>
      <x:c r="R39" s="90" t="str">
        <x:f>IF(AND(I39="High",N39&gt;7,H39&lt;&gt;"Completed"),"High-priority activity overdue by more than 7 days",IF(H39="On Hold","Activity is on hold",IF(AND(O39&gt;7,H39&lt;&gt;"Completed"),"Open activity has a stale update (&gt;7 days)",IF(AND(N39&gt;=1,N39&lt;=7,H39&lt;&gt;"Completed"),"Open activity overdue by 1-7 days",""))))</x:f>
      </x:c>
    </x:row>
    <x:row r="40">
      <x:c r="A40" s="84" t="str">
        <x:v>ACT-0036</x:v>
      </x:c>
      <x:c r="B40" s="85" t="str">
        <x:v>Project Controls</x:v>
      </x:c>
      <x:c r="C40" s="85" t="str">
        <x:v>PC-A</x:v>
      </x:c>
      <x:c r="D40" s="85" t="str">
        <x:v>KPI Update</x:v>
      </x:c>
      <x:c r="E40" s="86" t="n">
        <x:v>46205</x:v>
      </x:c>
      <x:c r="F40" s="86" t="n">
        <x:v>46216</x:v>
      </x:c>
      <x:c r="G40" s="86" t="n">
        <x:v>46223</x:v>
      </x:c>
      <x:c r="H40" s="85" t="str">
        <x:v>Completed</x:v>
      </x:c>
      <x:c r="I40" s="85" t="str">
        <x:v>Medium</x:v>
      </x:c>
      <x:c r="J40" s="87" t="n">
        <x:v>100</x:v>
      </x:c>
      <x:c r="K40" s="85" t="str">
        <x:v>Rework</x:v>
      </x:c>
      <x:c r="L40" s="86" t="n">
        <x:v>46223</x:v>
      </x:c>
      <x:c r="M40" s="85" t="str">
        <x:v>Team Lead B</x:v>
      </x:c>
      <x:c r="N40" s="88" t="n">
        <x:f>IF(AND(H40&lt;&gt;"Completed",F40&lt;'Summary'!$B$3),'Summary'!$B$3-F40,0)</x:f>
        <x:v>0</x:v>
      </x:c>
      <x:c r="O40" s="88" t="n">
        <x:f>'Summary'!$B$3-L40</x:f>
        <x:v>43</x:v>
      </x:c>
      <x:c r="P40" s="88" t="n">
        <x:f>IF(AND(H40="Completed",G40&lt;&gt;"",F40&lt;&gt;""),G40-F40,"")</x:f>
        <x:v>7</x:v>
      </x:c>
      <x:c r="Q40" s="89" t="str">
        <x:f>IF(OR(H40="On Hold",AND(I40="High",N40&gt;7,H40&lt;&gt;"Completed")),"Critical",IF(OR(AND(N40&gt;=1,N40&lt;=7,H40&lt;&gt;"Completed"),AND(O40&gt;7,H40&lt;&gt;"Completed")),"Warning","Normal"))</x:f>
        <x:v>Normal</x:v>
      </x:c>
      <x:c r="R40" s="90" t="str">
        <x:f>IF(AND(I40="High",N40&gt;7,H40&lt;&gt;"Completed"),"High-priority activity overdue by more than 7 days",IF(H40="On Hold","Activity is on hold",IF(AND(O40&gt;7,H40&lt;&gt;"Completed"),"Open activity has a stale update (&gt;7 days)",IF(AND(N40&gt;=1,N40&lt;=7,H40&lt;&gt;"Completed"),"Open activity overdue by 1-7 days",""))))</x:f>
      </x:c>
    </x:row>
    <x:row r="41">
      <x:c r="A41" s="84" t="str">
        <x:v>ACT-0037</x:v>
      </x:c>
      <x:c r="B41" s="85" t="str">
        <x:v>Engineering</x:v>
      </x:c>
      <x:c r="C41" s="85" t="str">
        <x:v>ENG-B</x:v>
      </x:c>
      <x:c r="D41" s="85" t="str">
        <x:v>Technical Query</x:v>
      </x:c>
      <x:c r="E41" s="86" t="n">
        <x:v>46213</x:v>
      </x:c>
      <x:c r="F41" s="86" t="n">
        <x:v>46241</x:v>
      </x:c>
      <x:c r="G41" s="86"/>
      <x:c r="H41" s="85" t="str">
        <x:v>In Progress</x:v>
      </x:c>
      <x:c r="I41" s="85" t="str">
        <x:v>Medium</x:v>
      </x:c>
      <x:c r="J41" s="87" t="n">
        <x:v>85</x:v>
      </x:c>
      <x:c r="K41" s="85" t="str">
        <x:v>Approval Delay</x:v>
      </x:c>
      <x:c r="L41" s="86" t="n">
        <x:v>46263</x:v>
      </x:c>
      <x:c r="M41" s="85" t="str">
        <x:v>Team Lead C</x:v>
      </x:c>
      <x:c r="N41" s="88" t="n">
        <x:f>IF(AND(H41&lt;&gt;"Completed",F41&lt;'Summary'!$B$3),'Summary'!$B$3-F41,0)</x:f>
        <x:v>25</x:v>
      </x:c>
      <x:c r="O41" s="88" t="n">
        <x:f>'Summary'!$B$3-L41</x:f>
        <x:v>3</x:v>
      </x:c>
      <x:c r="P41" s="88" t="str">
        <x:f>IF(AND(H41="Completed",G41&lt;&gt;"",F41&lt;&gt;""),G41-F41,"")</x:f>
      </x:c>
      <x:c r="Q41" s="89" t="str">
        <x:f>IF(OR(H41="On Hold",AND(I41="High",N41&gt;7,H41&lt;&gt;"Completed")),"Critical",IF(OR(AND(N41&gt;=1,N41&lt;=7,H41&lt;&gt;"Completed"),AND(O41&gt;7,H41&lt;&gt;"Completed")),"Warning","Normal"))</x:f>
        <x:v>Normal</x:v>
      </x:c>
      <x:c r="R41" s="90" t="str">
        <x:f>IF(AND(I41="High",N41&gt;7,H41&lt;&gt;"Completed"),"High-priority activity overdue by more than 7 days",IF(H41="On Hold","Activity is on hold",IF(AND(O41&gt;7,H41&lt;&gt;"Completed"),"Open activity has a stale update (&gt;7 days)",IF(AND(N41&gt;=1,N41&lt;=7,H41&lt;&gt;"Completed"),"Open activity overdue by 1-7 days",""))))</x:f>
      </x:c>
    </x:row>
    <x:row r="42">
      <x:c r="A42" s="84" t="str">
        <x:v>ACT-0038</x:v>
      </x:c>
      <x:c r="B42" s="85" t="str">
        <x:v>Procurement</x:v>
      </x:c>
      <x:c r="C42" s="85" t="str">
        <x:v>PROC-A</x:v>
      </x:c>
      <x:c r="D42" s="85" t="str">
        <x:v>Vendor Follow-up</x:v>
      </x:c>
      <x:c r="E42" s="86" t="n">
        <x:v>46256</x:v>
      </x:c>
      <x:c r="F42" s="86" t="n">
        <x:v>46275</x:v>
      </x:c>
      <x:c r="G42" s="86"/>
      <x:c r="H42" s="85" t="str">
        <x:v>In Progress</x:v>
      </x:c>
      <x:c r="I42" s="85" t="str">
        <x:v>Low</x:v>
      </x:c>
      <x:c r="J42" s="87" t="n">
        <x:v>75</x:v>
      </x:c>
      <x:c r="K42" s="85" t="str">
        <x:v>Access Constraint</x:v>
      </x:c>
      <x:c r="L42" s="86" t="n">
        <x:v>46261</x:v>
      </x:c>
      <x:c r="M42" s="85" t="str">
        <x:v>Team Lead A</x:v>
      </x:c>
      <x:c r="N42" s="88" t="n">
        <x:f>IF(AND(H42&lt;&gt;"Completed",F42&lt;'Summary'!$B$3),'Summary'!$B$3-F42,0)</x:f>
        <x:v>0</x:v>
      </x:c>
      <x:c r="O42" s="88" t="n">
        <x:f>'Summary'!$B$3-L42</x:f>
        <x:v>5</x:v>
      </x:c>
      <x:c r="P42" s="88" t="str">
        <x:f>IF(AND(H42="Completed",G42&lt;&gt;"",F42&lt;&gt;""),G42-F42,"")</x:f>
      </x:c>
      <x:c r="Q42" s="89" t="str">
        <x:f>IF(OR(H42="On Hold",AND(I42="High",N42&gt;7,H42&lt;&gt;"Completed")),"Critical",IF(OR(AND(N42&gt;=1,N42&lt;=7,H42&lt;&gt;"Completed"),AND(O42&gt;7,H42&lt;&gt;"Completed")),"Warning","Normal"))</x:f>
        <x:v>Normal</x:v>
      </x:c>
      <x:c r="R42" s="90" t="str">
        <x:f>IF(AND(I42="High",N42&gt;7,H42&lt;&gt;"Completed"),"High-priority activity overdue by more than 7 days",IF(H42="On Hold","Activity is on hold",IF(AND(O42&gt;7,H42&lt;&gt;"Completed"),"Open activity has a stale update (&gt;7 days)",IF(AND(N42&gt;=1,N42&lt;=7,H42&lt;&gt;"Completed"),"Open activity overdue by 1-7 days",""))))</x:f>
      </x:c>
    </x:row>
    <x:row r="43">
      <x:c r="A43" s="84" t="str">
        <x:v>ACT-0039</x:v>
      </x:c>
      <x:c r="B43" s="85" t="str">
        <x:v>Procurement</x:v>
      </x:c>
      <x:c r="C43" s="85" t="str">
        <x:v>PROC-A</x:v>
      </x:c>
      <x:c r="D43" s="85" t="str">
        <x:v>Material Delivery</x:v>
      </x:c>
      <x:c r="E43" s="86" t="n">
        <x:v>46248</x:v>
      </x:c>
      <x:c r="F43" s="86" t="n">
        <x:v>46259</x:v>
      </x:c>
      <x:c r="G43" s="86" t="n">
        <x:v>46265</x:v>
      </x:c>
      <x:c r="H43" s="85" t="str">
        <x:v>Completed</x:v>
      </x:c>
      <x:c r="I43" s="85" t="str">
        <x:v>Medium</x:v>
      </x:c>
      <x:c r="J43" s="87" t="n">
        <x:v>100</x:v>
      </x:c>
      <x:c r="K43" s="85" t="str">
        <x:v>None</x:v>
      </x:c>
      <x:c r="L43" s="86" t="n">
        <x:v>46263</x:v>
      </x:c>
      <x:c r="M43" s="85" t="str">
        <x:v>Team Lead E</x:v>
      </x:c>
      <x:c r="N43" s="88" t="n">
        <x:f>IF(AND(H43&lt;&gt;"Completed",F43&lt;'Summary'!$B$3),'Summary'!$B$3-F43,0)</x:f>
        <x:v>0</x:v>
      </x:c>
      <x:c r="O43" s="88" t="n">
        <x:f>'Summary'!$B$3-L43</x:f>
        <x:v>3</x:v>
      </x:c>
      <x:c r="P43" s="88" t="n">
        <x:f>IF(AND(H43="Completed",G43&lt;&gt;"",F43&lt;&gt;""),G43-F43,"")</x:f>
        <x:v>6</x:v>
      </x:c>
      <x:c r="Q43" s="89" t="str">
        <x:f>IF(OR(H43="On Hold",AND(I43="High",N43&gt;7,H43&lt;&gt;"Completed")),"Critical",IF(OR(AND(N43&gt;=1,N43&lt;=7,H43&lt;&gt;"Completed"),AND(O43&gt;7,H43&lt;&gt;"Completed")),"Warning","Normal"))</x:f>
        <x:v>Normal</x:v>
      </x:c>
      <x:c r="R43" s="90" t="str">
        <x:f>IF(AND(I43="High",N43&gt;7,H43&lt;&gt;"Completed"),"High-priority activity overdue by more than 7 days",IF(H43="On Hold","Activity is on hold",IF(AND(O43&gt;7,H43&lt;&gt;"Completed"),"Open activity has a stale update (&gt;7 days)",IF(AND(N43&gt;=1,N43&lt;=7,H43&lt;&gt;"Completed"),"Open activity overdue by 1-7 days",""))))</x:f>
      </x:c>
    </x:row>
    <x:row r="44">
      <x:c r="A44" s="84" t="str">
        <x:v>ACT-0040</x:v>
      </x:c>
      <x:c r="B44" s="85" t="str">
        <x:v>Engineering</x:v>
      </x:c>
      <x:c r="C44" s="85" t="str">
        <x:v>ENG-A</x:v>
      </x:c>
      <x:c r="D44" s="85" t="str">
        <x:v>Technical Query</x:v>
      </x:c>
      <x:c r="E44" s="86" t="n">
        <x:v>46179</x:v>
      </x:c>
      <x:c r="F44" s="86" t="n">
        <x:v>46204</x:v>
      </x:c>
      <x:c r="G44" s="86" t="n">
        <x:v>46216</x:v>
      </x:c>
      <x:c r="H44" s="85" t="str">
        <x:v>Completed</x:v>
      </x:c>
      <x:c r="I44" s="85" t="str">
        <x:v>Medium</x:v>
      </x:c>
      <x:c r="J44" s="87" t="n">
        <x:v>100</x:v>
      </x:c>
      <x:c r="K44" s="85" t="str">
        <x:v>None</x:v>
      </x:c>
      <x:c r="L44" s="86" t="n">
        <x:v>46215</x:v>
      </x:c>
      <x:c r="M44" s="85" t="str">
        <x:v>Team Lead A</x:v>
      </x:c>
      <x:c r="N44" s="88" t="n">
        <x:f>IF(AND(H44&lt;&gt;"Completed",F44&lt;'Summary'!$B$3),'Summary'!$B$3-F44,0)</x:f>
        <x:v>0</x:v>
      </x:c>
      <x:c r="O44" s="88" t="n">
        <x:f>'Summary'!$B$3-L44</x:f>
        <x:v>51</x:v>
      </x:c>
      <x:c r="P44" s="88" t="n">
        <x:f>IF(AND(H44="Completed",G44&lt;&gt;"",F44&lt;&gt;""),G44-F44,"")</x:f>
        <x:v>12</x:v>
      </x:c>
      <x:c r="Q44" s="89" t="str">
        <x:f>IF(OR(H44="On Hold",AND(I44="High",N44&gt;7,H44&lt;&gt;"Completed")),"Critical",IF(OR(AND(N44&gt;=1,N44&lt;=7,H44&lt;&gt;"Completed"),AND(O44&gt;7,H44&lt;&gt;"Completed")),"Warning","Normal"))</x:f>
        <x:v>Normal</x:v>
      </x:c>
      <x:c r="R44" s="90" t="str">
        <x:f>IF(AND(I44="High",N44&gt;7,H44&lt;&gt;"Completed"),"High-priority activity overdue by more than 7 days",IF(H44="On Hold","Activity is on hold",IF(AND(O44&gt;7,H44&lt;&gt;"Completed"),"Open activity has a stale update (&gt;7 days)",IF(AND(N44&gt;=1,N44&lt;=7,H44&lt;&gt;"Completed"),"Open activity overdue by 1-7 days",""))))</x:f>
      </x:c>
    </x:row>
    <x:row r="45">
      <x:c r="A45" s="84" t="str">
        <x:v>ACT-0041</x:v>
      </x:c>
      <x:c r="B45" s="85" t="str">
        <x:v>Procurement</x:v>
      </x:c>
      <x:c r="C45" s="85" t="str">
        <x:v>PROC-A</x:v>
      </x:c>
      <x:c r="D45" s="85" t="str">
        <x:v>Material Status Update</x:v>
      </x:c>
      <x:c r="E45" s="86" t="n">
        <x:v>46214</x:v>
      </x:c>
      <x:c r="F45" s="86" t="n">
        <x:v>46238</x:v>
      </x:c>
      <x:c r="G45" s="86"/>
      <x:c r="H45" s="85" t="str">
        <x:v>In Progress</x:v>
      </x:c>
      <x:c r="I45" s="85" t="str">
        <x:v>Medium</x:v>
      </x:c>
      <x:c r="J45" s="87" t="n">
        <x:v>55</x:v>
      </x:c>
      <x:c r="K45" s="85" t="str">
        <x:v>Approval Delay</x:v>
      </x:c>
      <x:c r="L45" s="86" t="n">
        <x:v>46258</x:v>
      </x:c>
      <x:c r="M45" s="85" t="str">
        <x:v>Team Lead D</x:v>
      </x:c>
      <x:c r="N45" s="88" t="n">
        <x:f>IF(AND(H45&lt;&gt;"Completed",F45&lt;'Summary'!$B$3),'Summary'!$B$3-F45,0)</x:f>
        <x:v>28</x:v>
      </x:c>
      <x:c r="O45" s="88" t="n">
        <x:f>'Summary'!$B$3-L45</x:f>
        <x:v>8</x:v>
      </x:c>
      <x:c r="P45" s="88" t="str">
        <x:f>IF(AND(H45="Completed",G45&lt;&gt;"",F45&lt;&gt;""),G45-F45,"")</x:f>
      </x:c>
      <x:c r="Q45" s="89" t="str">
        <x:f>IF(OR(H45="On Hold",AND(I45="High",N45&gt;7,H45&lt;&gt;"Completed")),"Critical",IF(OR(AND(N45&gt;=1,N45&lt;=7,H45&lt;&gt;"Completed"),AND(O45&gt;7,H45&lt;&gt;"Completed")),"Warning","Normal"))</x:f>
        <x:v>Warning</x:v>
      </x:c>
      <x:c r="R45" s="90" t="str">
        <x:f>IF(AND(I45="High",N45&gt;7,H45&lt;&gt;"Completed"),"High-priority activity overdue by more than 7 days",IF(H45="On Hold","Activity is on hold",IF(AND(O45&gt;7,H45&lt;&gt;"Completed"),"Open activity has a stale update (&gt;7 days)",IF(AND(N45&gt;=1,N45&lt;=7,H45&lt;&gt;"Completed"),"Open activity overdue by 1-7 days",""))))</x:f>
        <x:v>Open activity has a stale update (&gt;7 days)</x:v>
      </x:c>
    </x:row>
    <x:row r="46">
      <x:c r="A46" s="84" t="str">
        <x:v>ACT-0042</x:v>
      </x:c>
      <x:c r="B46" s="85" t="str">
        <x:v>QA/QC</x:v>
      </x:c>
      <x:c r="C46" s="85" t="str">
        <x:v>QA-B</x:v>
      </x:c>
      <x:c r="D46" s="85" t="str">
        <x:v>Inspection Request</x:v>
      </x:c>
      <x:c r="E46" s="86" t="n">
        <x:v>46198</x:v>
      </x:c>
      <x:c r="F46" s="86" t="n">
        <x:v>46214</x:v>
      </x:c>
      <x:c r="G46" s="86" t="n">
        <x:v>46214</x:v>
      </x:c>
      <x:c r="H46" s="85" t="str">
        <x:v>Completed</x:v>
      </x:c>
      <x:c r="I46" s="85" t="str">
        <x:v>Medium</x:v>
      </x:c>
      <x:c r="J46" s="87" t="n">
        <x:v>100</x:v>
      </x:c>
      <x:c r="K46" s="85" t="str">
        <x:v>Approval Delay</x:v>
      </x:c>
      <x:c r="L46" s="86" t="n">
        <x:v>46210</x:v>
      </x:c>
      <x:c r="M46" s="85" t="str">
        <x:v>Team Lead D</x:v>
      </x:c>
      <x:c r="N46" s="88" t="n">
        <x:f>IF(AND(H46&lt;&gt;"Completed",F46&lt;'Summary'!$B$3),'Summary'!$B$3-F46,0)</x:f>
        <x:v>0</x:v>
      </x:c>
      <x:c r="O46" s="88" t="n">
        <x:f>'Summary'!$B$3-L46</x:f>
        <x:v>56</x:v>
      </x:c>
      <x:c r="P46" s="88" t="n">
        <x:f>IF(AND(H46="Completed",G46&lt;&gt;"",F46&lt;&gt;""),G46-F46,"")</x:f>
        <x:v>0</x:v>
      </x:c>
      <x:c r="Q46" s="89" t="str">
        <x:f>IF(OR(H46="On Hold",AND(I46="High",N46&gt;7,H46&lt;&gt;"Completed")),"Critical",IF(OR(AND(N46&gt;=1,N46&lt;=7,H46&lt;&gt;"Completed"),AND(O46&gt;7,H46&lt;&gt;"Completed")),"Warning","Normal"))</x:f>
        <x:v>Normal</x:v>
      </x:c>
      <x:c r="R46" s="90" t="str">
        <x:f>IF(AND(I46="High",N46&gt;7,H46&lt;&gt;"Completed"),"High-priority activity overdue by more than 7 days",IF(H46="On Hold","Activity is on hold",IF(AND(O46&gt;7,H46&lt;&gt;"Completed"),"Open activity has a stale update (&gt;7 days)",IF(AND(N46&gt;=1,N46&lt;=7,H46&lt;&gt;"Completed"),"Open activity overdue by 1-7 days",""))))</x:f>
      </x:c>
    </x:row>
    <x:row r="47">
      <x:c r="A47" s="84" t="str">
        <x:v>ACT-0043</x:v>
      </x:c>
      <x:c r="B47" s="85" t="str">
        <x:v>Construction</x:v>
      </x:c>
      <x:c r="C47" s="85" t="str">
        <x:v>CONST-A</x:v>
      </x:c>
      <x:c r="D47" s="85" t="str">
        <x:v>Progress Update</x:v>
      </x:c>
      <x:c r="E47" s="86" t="n">
        <x:v>46210</x:v>
      </x:c>
      <x:c r="F47" s="86" t="n">
        <x:v>46219</x:v>
      </x:c>
      <x:c r="G47" s="86" t="n">
        <x:v>46224</x:v>
      </x:c>
      <x:c r="H47" s="85" t="str">
        <x:v>Completed</x:v>
      </x:c>
      <x:c r="I47" s="85" t="str">
        <x:v>Medium</x:v>
      </x:c>
      <x:c r="J47" s="87" t="n">
        <x:v>100</x:v>
      </x:c>
      <x:c r="K47" s="85" t="str">
        <x:v>None</x:v>
      </x:c>
      <x:c r="L47" s="86" t="n">
        <x:v>46221</x:v>
      </x:c>
      <x:c r="M47" s="85" t="str">
        <x:v>Team Lead F</x:v>
      </x:c>
      <x:c r="N47" s="88" t="n">
        <x:f>IF(AND(H47&lt;&gt;"Completed",F47&lt;'Summary'!$B$3),'Summary'!$B$3-F47,0)</x:f>
        <x:v>0</x:v>
      </x:c>
      <x:c r="O47" s="88" t="n">
        <x:f>'Summary'!$B$3-L47</x:f>
        <x:v>45</x:v>
      </x:c>
      <x:c r="P47" s="88" t="n">
        <x:f>IF(AND(H47="Completed",G47&lt;&gt;"",F47&lt;&gt;""),G47-F47,"")</x:f>
        <x:v>5</x:v>
      </x:c>
      <x:c r="Q47" s="89" t="str">
        <x:f>IF(OR(H47="On Hold",AND(I47="High",N47&gt;7,H47&lt;&gt;"Completed")),"Critical",IF(OR(AND(N47&gt;=1,N47&lt;=7,H47&lt;&gt;"Completed"),AND(O47&gt;7,H47&lt;&gt;"Completed")),"Warning","Normal"))</x:f>
        <x:v>Normal</x:v>
      </x:c>
      <x:c r="R47" s="90" t="str">
        <x:f>IF(AND(I47="High",N47&gt;7,H47&lt;&gt;"Completed"),"High-priority activity overdue by more than 7 days",IF(H47="On Hold","Activity is on hold",IF(AND(O47&gt;7,H47&lt;&gt;"Completed"),"Open activity has a stale update (&gt;7 days)",IF(AND(N47&gt;=1,N47&lt;=7,H47&lt;&gt;"Completed"),"Open activity overdue by 1-7 days",""))))</x:f>
      </x:c>
    </x:row>
    <x:row r="48">
      <x:c r="A48" s="84" t="str">
        <x:v>ACT-0044</x:v>
      </x:c>
      <x:c r="B48" s="85" t="str">
        <x:v>Engineering</x:v>
      </x:c>
      <x:c r="C48" s="85" t="str">
        <x:v>ENG-B</x:v>
      </x:c>
      <x:c r="D48" s="85" t="str">
        <x:v>RFI Closure</x:v>
      </x:c>
      <x:c r="E48" s="86" t="n">
        <x:v>46258</x:v>
      </x:c>
      <x:c r="F48" s="86" t="n">
        <x:v>46263</x:v>
      </x:c>
      <x:c r="G48" s="86" t="n">
        <x:v>46264</x:v>
      </x:c>
      <x:c r="H48" s="85" t="str">
        <x:v>Completed</x:v>
      </x:c>
      <x:c r="I48" s="85" t="str">
        <x:v>Medium</x:v>
      </x:c>
      <x:c r="J48" s="87" t="n">
        <x:v>100</x:v>
      </x:c>
      <x:c r="K48" s="85" t="str">
        <x:v>Rework</x:v>
      </x:c>
      <x:c r="L48" s="86" t="n">
        <x:v>46264</x:v>
      </x:c>
      <x:c r="M48" s="85" t="str">
        <x:v>Team Lead B</x:v>
      </x:c>
      <x:c r="N48" s="88" t="n">
        <x:f>IF(AND(H48&lt;&gt;"Completed",F48&lt;'Summary'!$B$3),'Summary'!$B$3-F48,0)</x:f>
        <x:v>0</x:v>
      </x:c>
      <x:c r="O48" s="88" t="n">
        <x:f>'Summary'!$B$3-L48</x:f>
        <x:v>2</x:v>
      </x:c>
      <x:c r="P48" s="88" t="n">
        <x:f>IF(AND(H48="Completed",G48&lt;&gt;"",F48&lt;&gt;""),G48-F48,"")</x:f>
        <x:v>1</x:v>
      </x:c>
      <x:c r="Q48" s="89" t="str">
        <x:f>IF(OR(H48="On Hold",AND(I48="High",N48&gt;7,H48&lt;&gt;"Completed")),"Critical",IF(OR(AND(N48&gt;=1,N48&lt;=7,H48&lt;&gt;"Completed"),AND(O48&gt;7,H48&lt;&gt;"Completed")),"Warning","Normal"))</x:f>
        <x:v>Normal</x:v>
      </x:c>
      <x:c r="R48" s="90" t="str">
        <x:f>IF(AND(I48="High",N48&gt;7,H48&lt;&gt;"Completed"),"High-priority activity overdue by more than 7 days",IF(H48="On Hold","Activity is on hold",IF(AND(O48&gt;7,H48&lt;&gt;"Completed"),"Open activity has a stale update (&gt;7 days)",IF(AND(N48&gt;=1,N48&lt;=7,H48&lt;&gt;"Completed"),"Open activity overdue by 1-7 days",""))))</x:f>
      </x:c>
    </x:row>
    <x:row r="49">
      <x:c r="A49" s="84" t="str">
        <x:v>ACT-0045</x:v>
      </x:c>
      <x:c r="B49" s="85" t="str">
        <x:v>Construction</x:v>
      </x:c>
      <x:c r="C49" s="85" t="str">
        <x:v>CONST-A</x:v>
      </x:c>
      <x:c r="D49" s="85" t="str">
        <x:v>Punch Clearance</x:v>
      </x:c>
      <x:c r="E49" s="86" t="n">
        <x:v>46192</x:v>
      </x:c>
      <x:c r="F49" s="86" t="n">
        <x:v>46195</x:v>
      </x:c>
      <x:c r="G49" s="86" t="n">
        <x:v>46209</x:v>
      </x:c>
      <x:c r="H49" s="85" t="str">
        <x:v>Completed</x:v>
      </x:c>
      <x:c r="I49" s="85" t="str">
        <x:v>Low</x:v>
      </x:c>
      <x:c r="J49" s="87" t="n">
        <x:v>100</x:v>
      </x:c>
      <x:c r="K49" s="85" t="str">
        <x:v>None</x:v>
      </x:c>
      <x:c r="L49" s="86" t="n">
        <x:v>46209</x:v>
      </x:c>
      <x:c r="M49" s="85" t="str">
        <x:v>Team Lead F</x:v>
      </x:c>
      <x:c r="N49" s="88" t="n">
        <x:f>IF(AND(H49&lt;&gt;"Completed",F49&lt;'Summary'!$B$3),'Summary'!$B$3-F49,0)</x:f>
        <x:v>0</x:v>
      </x:c>
      <x:c r="O49" s="88" t="n">
        <x:f>'Summary'!$B$3-L49</x:f>
        <x:v>57</x:v>
      </x:c>
      <x:c r="P49" s="88" t="n">
        <x:f>IF(AND(H49="Completed",G49&lt;&gt;"",F49&lt;&gt;""),G49-F49,"")</x:f>
        <x:v>14</x:v>
      </x:c>
      <x:c r="Q49" s="89" t="str">
        <x:f>IF(OR(H49="On Hold",AND(I49="High",N49&gt;7,H49&lt;&gt;"Completed")),"Critical",IF(OR(AND(N49&gt;=1,N49&lt;=7,H49&lt;&gt;"Completed"),AND(O49&gt;7,H49&lt;&gt;"Completed")),"Warning","Normal"))</x:f>
        <x:v>Normal</x:v>
      </x:c>
      <x:c r="R49" s="90" t="str">
        <x:f>IF(AND(I49="High",N49&gt;7,H49&lt;&gt;"Completed"),"High-priority activity overdue by more than 7 days",IF(H49="On Hold","Activity is on hold",IF(AND(O49&gt;7,H49&lt;&gt;"Completed"),"Open activity has a stale update (&gt;7 days)",IF(AND(N49&gt;=1,N49&lt;=7,H49&lt;&gt;"Completed"),"Open activity overdue by 1-7 days",""))))</x:f>
      </x:c>
    </x:row>
    <x:row r="50">
      <x:c r="A50" s="84" t="str">
        <x:v>ACT-0046</x:v>
      </x:c>
      <x:c r="B50" s="85" t="str">
        <x:v>Construction</x:v>
      </x:c>
      <x:c r="C50" s="85" t="str">
        <x:v>CONST-B</x:v>
      </x:c>
      <x:c r="D50" s="85" t="str">
        <x:v>Site Preparation</x:v>
      </x:c>
      <x:c r="E50" s="86" t="n">
        <x:v>46225</x:v>
      </x:c>
      <x:c r="F50" s="86" t="n">
        <x:v>46235</x:v>
      </x:c>
      <x:c r="G50" s="86" t="n">
        <x:v>46233</x:v>
      </x:c>
      <x:c r="H50" s="85" t="str">
        <x:v>Completed</x:v>
      </x:c>
      <x:c r="I50" s="85" t="str">
        <x:v>Medium</x:v>
      </x:c>
      <x:c r="J50" s="87" t="n">
        <x:v>100</x:v>
      </x:c>
      <x:c r="K50" s="85" t="str">
        <x:v>None</x:v>
      </x:c>
      <x:c r="L50" s="86" t="n">
        <x:v>46230</x:v>
      </x:c>
      <x:c r="M50" s="85" t="str">
        <x:v>Team Lead F</x:v>
      </x:c>
      <x:c r="N50" s="88" t="n">
        <x:f>IF(AND(H50&lt;&gt;"Completed",F50&lt;'Summary'!$B$3),'Summary'!$B$3-F50,0)</x:f>
        <x:v>0</x:v>
      </x:c>
      <x:c r="O50" s="88" t="n">
        <x:f>'Summary'!$B$3-L50</x:f>
        <x:v>36</x:v>
      </x:c>
      <x:c r="P50" s="88" t="n">
        <x:f>IF(AND(H50="Completed",G50&lt;&gt;"",F50&lt;&gt;""),G50-F50,"")</x:f>
        <x:v>-2</x:v>
      </x:c>
      <x:c r="Q50" s="89" t="str">
        <x:f>IF(OR(H50="On Hold",AND(I50="High",N50&gt;7,H50&lt;&gt;"Completed")),"Critical",IF(OR(AND(N50&gt;=1,N50&lt;=7,H50&lt;&gt;"Completed"),AND(O50&gt;7,H50&lt;&gt;"Completed")),"Warning","Normal"))</x:f>
        <x:v>Normal</x:v>
      </x:c>
      <x:c r="R50" s="90" t="str">
        <x:f>IF(AND(I50="High",N50&gt;7,H50&lt;&gt;"Completed"),"High-priority activity overdue by more than 7 days",IF(H50="On Hold","Activity is on hold",IF(AND(O50&gt;7,H50&lt;&gt;"Completed"),"Open activity has a stale update (&gt;7 days)",IF(AND(N50&gt;=1,N50&lt;=7,H50&lt;&gt;"Completed"),"Open activity overdue by 1-7 days",""))))</x:f>
      </x:c>
    </x:row>
    <x:row r="51">
      <x:c r="A51" s="84" t="str">
        <x:v>ACT-0047</x:v>
      </x:c>
      <x:c r="B51" s="85" t="str">
        <x:v>Construction</x:v>
      </x:c>
      <x:c r="C51" s="85" t="str">
        <x:v>CONST-A</x:v>
      </x:c>
      <x:c r="D51" s="85" t="str">
        <x:v>Punch Clearance</x:v>
      </x:c>
      <x:c r="E51" s="86" t="n">
        <x:v>46189</x:v>
      </x:c>
      <x:c r="F51" s="86" t="n">
        <x:v>46206</x:v>
      </x:c>
      <x:c r="G51" s="86" t="n">
        <x:v>46217</x:v>
      </x:c>
      <x:c r="H51" s="85" t="str">
        <x:v>Completed</x:v>
      </x:c>
      <x:c r="I51" s="85" t="str">
        <x:v>Medium</x:v>
      </x:c>
      <x:c r="J51" s="87" t="n">
        <x:v>100</x:v>
      </x:c>
      <x:c r="K51" s="85" t="str">
        <x:v>Approval Delay</x:v>
      </x:c>
      <x:c r="L51" s="86" t="n">
        <x:v>46213</x:v>
      </x:c>
      <x:c r="M51" s="85" t="str">
        <x:v>Team Lead D</x:v>
      </x:c>
      <x:c r="N51" s="88" t="n">
        <x:f>IF(AND(H51&lt;&gt;"Completed",F51&lt;'Summary'!$B$3),'Summary'!$B$3-F51,0)</x:f>
        <x:v>0</x:v>
      </x:c>
      <x:c r="O51" s="88" t="n">
        <x:f>'Summary'!$B$3-L51</x:f>
        <x:v>53</x:v>
      </x:c>
      <x:c r="P51" s="88" t="n">
        <x:f>IF(AND(H51="Completed",G51&lt;&gt;"",F51&lt;&gt;""),G51-F51,"")</x:f>
        <x:v>11</x:v>
      </x:c>
      <x:c r="Q51" s="89" t="str">
        <x:f>IF(OR(H51="On Hold",AND(I51="High",N51&gt;7,H51&lt;&gt;"Completed")),"Critical",IF(OR(AND(N51&gt;=1,N51&lt;=7,H51&lt;&gt;"Completed"),AND(O51&gt;7,H51&lt;&gt;"Completed")),"Warning","Normal"))</x:f>
        <x:v>Normal</x:v>
      </x:c>
      <x:c r="R51" s="90" t="str">
        <x:f>IF(AND(I51="High",N51&gt;7,H51&lt;&gt;"Completed"),"High-priority activity overdue by more than 7 days",IF(H51="On Hold","Activity is on hold",IF(AND(O51&gt;7,H51&lt;&gt;"Completed"),"Open activity has a stale update (&gt;7 days)",IF(AND(N51&gt;=1,N51&lt;=7,H51&lt;&gt;"Completed"),"Open activity overdue by 1-7 days",""))))</x:f>
      </x:c>
    </x:row>
    <x:row r="52">
      <x:c r="A52" s="84" t="str">
        <x:v>ACT-0048</x:v>
      </x:c>
      <x:c r="B52" s="85" t="str">
        <x:v>Construction</x:v>
      </x:c>
      <x:c r="C52" s="85" t="str">
        <x:v>CONST-B</x:v>
      </x:c>
      <x:c r="D52" s="85" t="str">
        <x:v>Site Preparation</x:v>
      </x:c>
      <x:c r="E52" s="86" t="n">
        <x:v>46194</x:v>
      </x:c>
      <x:c r="F52" s="86" t="n">
        <x:v>46220</x:v>
      </x:c>
      <x:c r="G52" s="86"/>
      <x:c r="H52" s="85" t="str">
        <x:v>In Progress</x:v>
      </x:c>
      <x:c r="I52" s="85" t="str">
        <x:v>Medium</x:v>
      </x:c>
      <x:c r="J52" s="87" t="n">
        <x:v>95</x:v>
      </x:c>
      <x:c r="K52" s="85" t="str">
        <x:v>Documentation</x:v>
      </x:c>
      <x:c r="L52" s="86" t="n">
        <x:v>46263</x:v>
      </x:c>
      <x:c r="M52" s="85" t="str">
        <x:v>Team Lead C</x:v>
      </x:c>
      <x:c r="N52" s="88" t="n">
        <x:f>IF(AND(H52&lt;&gt;"Completed",F52&lt;'Summary'!$B$3),'Summary'!$B$3-F52,0)</x:f>
        <x:v>46</x:v>
      </x:c>
      <x:c r="O52" s="88" t="n">
        <x:f>'Summary'!$B$3-L52</x:f>
        <x:v>3</x:v>
      </x:c>
      <x:c r="P52" s="88" t="str">
        <x:f>IF(AND(H52="Completed",G52&lt;&gt;"",F52&lt;&gt;""),G52-F52,"")</x:f>
      </x:c>
      <x:c r="Q52" s="89" t="str">
        <x:f>IF(OR(H52="On Hold",AND(I52="High",N52&gt;7,H52&lt;&gt;"Completed")),"Critical",IF(OR(AND(N52&gt;=1,N52&lt;=7,H52&lt;&gt;"Completed"),AND(O52&gt;7,H52&lt;&gt;"Completed")),"Warning","Normal"))</x:f>
        <x:v>Normal</x:v>
      </x:c>
      <x:c r="R52" s="90" t="str">
        <x:f>IF(AND(I52="High",N52&gt;7,H52&lt;&gt;"Completed"),"High-priority activity overdue by more than 7 days",IF(H52="On Hold","Activity is on hold",IF(AND(O52&gt;7,H52&lt;&gt;"Completed"),"Open activity has a stale update (&gt;7 days)",IF(AND(N52&gt;=1,N52&lt;=7,H52&lt;&gt;"Completed"),"Open activity overdue by 1-7 days",""))))</x:f>
      </x:c>
    </x:row>
    <x:row r="53">
      <x:c r="A53" s="84" t="str">
        <x:v>ACT-0049</x:v>
      </x:c>
      <x:c r="B53" s="85" t="str">
        <x:v>Project Controls</x:v>
      </x:c>
      <x:c r="C53" s="85" t="str">
        <x:v>PC-A</x:v>
      </x:c>
      <x:c r="D53" s="85" t="str">
        <x:v>KPI Update</x:v>
      </x:c>
      <x:c r="E53" s="86" t="n">
        <x:v>46204</x:v>
      </x:c>
      <x:c r="F53" s="86" t="n">
        <x:v>46215</x:v>
      </x:c>
      <x:c r="G53" s="86" t="n">
        <x:v>46217</x:v>
      </x:c>
      <x:c r="H53" s="85" t="str">
        <x:v>Completed</x:v>
      </x:c>
      <x:c r="I53" s="85" t="str">
        <x:v>Medium</x:v>
      </x:c>
      <x:c r="J53" s="87" t="n">
        <x:v>100</x:v>
      </x:c>
      <x:c r="K53" s="85" t="str">
        <x:v>None</x:v>
      </x:c>
      <x:c r="L53" s="86" t="n">
        <x:v>46215</x:v>
      </x:c>
      <x:c r="M53" s="85" t="str">
        <x:v>Team Lead E</x:v>
      </x:c>
      <x:c r="N53" s="88" t="n">
        <x:f>IF(AND(H53&lt;&gt;"Completed",F53&lt;'Summary'!$B$3),'Summary'!$B$3-F53,0)</x:f>
        <x:v>0</x:v>
      </x:c>
      <x:c r="O53" s="88" t="n">
        <x:f>'Summary'!$B$3-L53</x:f>
        <x:v>51</x:v>
      </x:c>
      <x:c r="P53" s="88" t="n">
        <x:f>IF(AND(H53="Completed",G53&lt;&gt;"",F53&lt;&gt;""),G53-F53,"")</x:f>
        <x:v>2</x:v>
      </x:c>
      <x:c r="Q53" s="89" t="str">
        <x:f>IF(OR(H53="On Hold",AND(I53="High",N53&gt;7,H53&lt;&gt;"Completed")),"Critical",IF(OR(AND(N53&gt;=1,N53&lt;=7,H53&lt;&gt;"Completed"),AND(O53&gt;7,H53&lt;&gt;"Completed")),"Warning","Normal"))</x:f>
        <x:v>Normal</x:v>
      </x:c>
      <x:c r="R53" s="90" t="str">
        <x:f>IF(AND(I53="High",N53&gt;7,H53&lt;&gt;"Completed"),"High-priority activity overdue by more than 7 days",IF(H53="On Hold","Activity is on hold",IF(AND(O53&gt;7,H53&lt;&gt;"Completed"),"Open activity has a stale update (&gt;7 days)",IF(AND(N53&gt;=1,N53&lt;=7,H53&lt;&gt;"Completed"),"Open activity overdue by 1-7 days",""))))</x:f>
      </x:c>
    </x:row>
    <x:row r="54">
      <x:c r="A54" s="84" t="str">
        <x:v>ACT-0050</x:v>
      </x:c>
      <x:c r="B54" s="85" t="str">
        <x:v>Engineering</x:v>
      </x:c>
      <x:c r="C54" s="85" t="str">
        <x:v>ENG-A</x:v>
      </x:c>
      <x:c r="D54" s="85" t="str">
        <x:v>RFI Closure</x:v>
      </x:c>
      <x:c r="E54" s="86" t="n">
        <x:v>46223</x:v>
      </x:c>
      <x:c r="F54" s="86" t="n">
        <x:v>46248</x:v>
      </x:c>
      <x:c r="G54" s="86" t="n">
        <x:v>46256</x:v>
      </x:c>
      <x:c r="H54" s="85" t="str">
        <x:v>Completed</x:v>
      </x:c>
      <x:c r="I54" s="85" t="str">
        <x:v>High</x:v>
      </x:c>
      <x:c r="J54" s="87" t="n">
        <x:v>100</x:v>
      </x:c>
      <x:c r="K54" s="85" t="str">
        <x:v>None</x:v>
      </x:c>
      <x:c r="L54" s="86" t="n">
        <x:v>46253</x:v>
      </x:c>
      <x:c r="M54" s="85" t="str">
        <x:v>Team Lead D</x:v>
      </x:c>
      <x:c r="N54" s="88" t="n">
        <x:f>IF(AND(H54&lt;&gt;"Completed",F54&lt;'Summary'!$B$3),'Summary'!$B$3-F54,0)</x:f>
        <x:v>0</x:v>
      </x:c>
      <x:c r="O54" s="88" t="n">
        <x:f>'Summary'!$B$3-L54</x:f>
        <x:v>13</x:v>
      </x:c>
      <x:c r="P54" s="88" t="n">
        <x:f>IF(AND(H54="Completed",G54&lt;&gt;"",F54&lt;&gt;""),G54-F54,"")</x:f>
        <x:v>8</x:v>
      </x:c>
      <x:c r="Q54" s="89" t="str">
        <x:f>IF(OR(H54="On Hold",AND(I54="High",N54&gt;7,H54&lt;&gt;"Completed")),"Critical",IF(OR(AND(N54&gt;=1,N54&lt;=7,H54&lt;&gt;"Completed"),AND(O54&gt;7,H54&lt;&gt;"Completed")),"Warning","Normal"))</x:f>
        <x:v>Normal</x:v>
      </x:c>
      <x:c r="R54" s="90" t="str">
        <x:f>IF(AND(I54="High",N54&gt;7,H54&lt;&gt;"Completed"),"High-priority activity overdue by more than 7 days",IF(H54="On Hold","Activity is on hold",IF(AND(O54&gt;7,H54&lt;&gt;"Completed"),"Open activity has a stale update (&gt;7 days)",IF(AND(N54&gt;=1,N54&lt;=7,H54&lt;&gt;"Completed"),"Open activity overdue by 1-7 days",""))))</x:f>
      </x:c>
    </x:row>
    <x:row r="55">
      <x:c r="A55" s="84" t="str">
        <x:v>ACT-0051</x:v>
      </x:c>
      <x:c r="B55" s="85" t="str">
        <x:v>QA/QC</x:v>
      </x:c>
      <x:c r="C55" s="85" t="str">
        <x:v>QA-A</x:v>
      </x:c>
      <x:c r="D55" s="85" t="str">
        <x:v>Quality Review</x:v>
      </x:c>
      <x:c r="E55" s="86" t="n">
        <x:v>46223</x:v>
      </x:c>
      <x:c r="F55" s="86" t="n">
        <x:v>46250</x:v>
      </x:c>
      <x:c r="G55" s="86" t="n">
        <x:v>46263</x:v>
      </x:c>
      <x:c r="H55" s="85" t="str">
        <x:v>Completed</x:v>
      </x:c>
      <x:c r="I55" s="85" t="str">
        <x:v>Medium</x:v>
      </x:c>
      <x:c r="J55" s="87" t="n">
        <x:v>100</x:v>
      </x:c>
      <x:c r="K55" s="85" t="str">
        <x:v>None</x:v>
      </x:c>
      <x:c r="L55" s="86" t="n">
        <x:v>46260</x:v>
      </x:c>
      <x:c r="M55" s="85" t="str">
        <x:v>Team Lead C</x:v>
      </x:c>
      <x:c r="N55" s="88" t="n">
        <x:f>IF(AND(H55&lt;&gt;"Completed",F55&lt;'Summary'!$B$3),'Summary'!$B$3-F55,0)</x:f>
        <x:v>0</x:v>
      </x:c>
      <x:c r="O55" s="88" t="n">
        <x:f>'Summary'!$B$3-L55</x:f>
        <x:v>6</x:v>
      </x:c>
      <x:c r="P55" s="88" t="n">
        <x:f>IF(AND(H55="Completed",G55&lt;&gt;"",F55&lt;&gt;""),G55-F55,"")</x:f>
        <x:v>13</x:v>
      </x:c>
      <x:c r="Q55" s="89" t="str">
        <x:f>IF(OR(H55="On Hold",AND(I55="High",N55&gt;7,H55&lt;&gt;"Completed")),"Critical",IF(OR(AND(N55&gt;=1,N55&lt;=7,H55&lt;&gt;"Completed"),AND(O55&gt;7,H55&lt;&gt;"Completed")),"Warning","Normal"))</x:f>
        <x:v>Normal</x:v>
      </x:c>
      <x:c r="R55" s="90" t="str">
        <x:f>IF(AND(I55="High",N55&gt;7,H55&lt;&gt;"Completed"),"High-priority activity overdue by more than 7 days",IF(H55="On Hold","Activity is on hold",IF(AND(O55&gt;7,H55&lt;&gt;"Completed"),"Open activity has a stale update (&gt;7 days)",IF(AND(N55&gt;=1,N55&lt;=7,H55&lt;&gt;"Completed"),"Open activity overdue by 1-7 days",""))))</x:f>
      </x:c>
    </x:row>
    <x:row r="56">
      <x:c r="A56" s="84" t="str">
        <x:v>ACT-0052</x:v>
      </x:c>
      <x:c r="B56" s="85" t="str">
        <x:v>QA/QC</x:v>
      </x:c>
      <x:c r="C56" s="85" t="str">
        <x:v>QA-B</x:v>
      </x:c>
      <x:c r="D56" s="85" t="str">
        <x:v>Quality Review</x:v>
      </x:c>
      <x:c r="E56" s="86" t="n">
        <x:v>46242</x:v>
      </x:c>
      <x:c r="F56" s="86" t="n">
        <x:v>46268</x:v>
      </x:c>
      <x:c r="G56" s="86"/>
      <x:c r="H56" s="85" t="str">
        <x:v>On Hold</x:v>
      </x:c>
      <x:c r="I56" s="85" t="str">
        <x:v>Low</x:v>
      </x:c>
      <x:c r="J56" s="87" t="n">
        <x:v>20</x:v>
      </x:c>
      <x:c r="K56" s="85" t="str">
        <x:v>Approval Delay</x:v>
      </x:c>
      <x:c r="L56" s="86" t="n">
        <x:v>46246</x:v>
      </x:c>
      <x:c r="M56" s="85" t="str">
        <x:v>Team Lead D</x:v>
      </x:c>
      <x:c r="N56" s="88" t="n">
        <x:f>IF(AND(H56&lt;&gt;"Completed",F56&lt;'Summary'!$B$3),'Summary'!$B$3-F56,0)</x:f>
        <x:v>0</x:v>
      </x:c>
      <x:c r="O56" s="88" t="n">
        <x:f>'Summary'!$B$3-L56</x:f>
        <x:v>20</x:v>
      </x:c>
      <x:c r="P56" s="88" t="str">
        <x:f>IF(AND(H56="Completed",G56&lt;&gt;"",F56&lt;&gt;""),G56-F56,"")</x:f>
      </x:c>
      <x:c r="Q56" s="89" t="str">
        <x:f>IF(OR(H56="On Hold",AND(I56="High",N56&gt;7,H56&lt;&gt;"Completed")),"Critical",IF(OR(AND(N56&gt;=1,N56&lt;=7,H56&lt;&gt;"Completed"),AND(O56&gt;7,H56&lt;&gt;"Completed")),"Warning","Normal"))</x:f>
        <x:v>Critical</x:v>
      </x:c>
      <x:c r="R56" s="90" t="str">
        <x:f>IF(AND(I56="High",N56&gt;7,H56&lt;&gt;"Completed"),"High-priority activity overdue by more than 7 days",IF(H56="On Hold","Activity is on hold",IF(AND(O56&gt;7,H56&lt;&gt;"Completed"),"Open activity has a stale update (&gt;7 days)",IF(AND(N56&gt;=1,N56&lt;=7,H56&lt;&gt;"Completed"),"Open activity overdue by 1-7 days",""))))</x:f>
        <x:v>Activity is on hold</x:v>
      </x:c>
    </x:row>
    <x:row r="57">
      <x:c r="A57" s="84" t="str">
        <x:v>ACT-0053</x:v>
      </x:c>
      <x:c r="B57" s="85" t="str">
        <x:v>Construction</x:v>
      </x:c>
      <x:c r="C57" s="85" t="str">
        <x:v>CONST-B</x:v>
      </x:c>
      <x:c r="D57" s="85" t="str">
        <x:v>Progress Update</x:v>
      </x:c>
      <x:c r="E57" s="86" t="n">
        <x:v>46259</x:v>
      </x:c>
      <x:c r="F57" s="86" t="n">
        <x:v>46283</x:v>
      </x:c>
      <x:c r="G57" s="86"/>
      <x:c r="H57" s="85" t="str">
        <x:v>Not Started</x:v>
      </x:c>
      <x:c r="I57" s="85" t="str">
        <x:v>Medium</x:v>
      </x:c>
      <x:c r="J57" s="87" t="n">
        <x:v>5</x:v>
      </x:c>
      <x:c r="K57" s="85" t="str">
        <x:v>Access Constraint</x:v>
      </x:c>
      <x:c r="L57" s="86" t="n">
        <x:v>46259</x:v>
      </x:c>
      <x:c r="M57" s="85" t="str">
        <x:v>Team Lead E</x:v>
      </x:c>
      <x:c r="N57" s="88" t="n">
        <x:f>IF(AND(H57&lt;&gt;"Completed",F57&lt;'Summary'!$B$3),'Summary'!$B$3-F57,0)</x:f>
        <x:v>0</x:v>
      </x:c>
      <x:c r="O57" s="88" t="n">
        <x:f>'Summary'!$B$3-L57</x:f>
        <x:v>7</x:v>
      </x:c>
      <x:c r="P57" s="88" t="str">
        <x:f>IF(AND(H57="Completed",G57&lt;&gt;"",F57&lt;&gt;""),G57-F57,"")</x:f>
      </x:c>
      <x:c r="Q57" s="89" t="str">
        <x:f>IF(OR(H57="On Hold",AND(I57="High",N57&gt;7,H57&lt;&gt;"Completed")),"Critical",IF(OR(AND(N57&gt;=1,N57&lt;=7,H57&lt;&gt;"Completed"),AND(O57&gt;7,H57&lt;&gt;"Completed")),"Warning","Normal"))</x:f>
        <x:v>Normal</x:v>
      </x:c>
      <x:c r="R57" s="90" t="str">
        <x:f>IF(AND(I57="High",N57&gt;7,H57&lt;&gt;"Completed"),"High-priority activity overdue by more than 7 days",IF(H57="On Hold","Activity is on hold",IF(AND(O57&gt;7,H57&lt;&gt;"Completed"),"Open activity has a stale update (&gt;7 days)",IF(AND(N57&gt;=1,N57&lt;=7,H57&lt;&gt;"Completed"),"Open activity overdue by 1-7 days",""))))</x:f>
      </x:c>
    </x:row>
    <x:row r="58">
      <x:c r="A58" s="84" t="str">
        <x:v>ACT-0054</x:v>
      </x:c>
      <x:c r="B58" s="85" t="str">
        <x:v>Engineering</x:v>
      </x:c>
      <x:c r="C58" s="85" t="str">
        <x:v>ENG-B</x:v>
      </x:c>
      <x:c r="D58" s="85" t="str">
        <x:v>Drawing Review</x:v>
      </x:c>
      <x:c r="E58" s="86" t="n">
        <x:v>46184</x:v>
      </x:c>
      <x:c r="F58" s="86" t="n">
        <x:v>46207</x:v>
      </x:c>
      <x:c r="G58" s="86" t="n">
        <x:v>46207</x:v>
      </x:c>
      <x:c r="H58" s="85" t="str">
        <x:v>Completed</x:v>
      </x:c>
      <x:c r="I58" s="85" t="str">
        <x:v>Low</x:v>
      </x:c>
      <x:c r="J58" s="87" t="n">
        <x:v>100</x:v>
      </x:c>
      <x:c r="K58" s="85" t="str">
        <x:v>None</x:v>
      </x:c>
      <x:c r="L58" s="86" t="n">
        <x:v>46207</x:v>
      </x:c>
      <x:c r="M58" s="85" t="str">
        <x:v>Team Lead C</x:v>
      </x:c>
      <x:c r="N58" s="88" t="n">
        <x:f>IF(AND(H58&lt;&gt;"Completed",F58&lt;'Summary'!$B$3),'Summary'!$B$3-F58,0)</x:f>
        <x:v>0</x:v>
      </x:c>
      <x:c r="O58" s="88" t="n">
        <x:f>'Summary'!$B$3-L58</x:f>
        <x:v>59</x:v>
      </x:c>
      <x:c r="P58" s="88" t="n">
        <x:f>IF(AND(H58="Completed",G58&lt;&gt;"",F58&lt;&gt;""),G58-F58,"")</x:f>
        <x:v>0</x:v>
      </x:c>
      <x:c r="Q58" s="89" t="str">
        <x:f>IF(OR(H58="On Hold",AND(I58="High",N58&gt;7,H58&lt;&gt;"Completed")),"Critical",IF(OR(AND(N58&gt;=1,N58&lt;=7,H58&lt;&gt;"Completed"),AND(O58&gt;7,H58&lt;&gt;"Completed")),"Warning","Normal"))</x:f>
        <x:v>Normal</x:v>
      </x:c>
      <x:c r="R58" s="90" t="str">
        <x:f>IF(AND(I58="High",N58&gt;7,H58&lt;&gt;"Completed"),"High-priority activity overdue by more than 7 days",IF(H58="On Hold","Activity is on hold",IF(AND(O58&gt;7,H58&lt;&gt;"Completed"),"Open activity has a stale update (&gt;7 days)",IF(AND(N58&gt;=1,N58&lt;=7,H58&lt;&gt;"Completed"),"Open activity overdue by 1-7 days",""))))</x:f>
      </x:c>
    </x:row>
    <x:row r="59">
      <x:c r="A59" s="84" t="str">
        <x:v>ACT-0055</x:v>
      </x:c>
      <x:c r="B59" s="85" t="str">
        <x:v>Engineering</x:v>
      </x:c>
      <x:c r="C59" s="85" t="str">
        <x:v>ENG-B</x:v>
      </x:c>
      <x:c r="D59" s="85" t="str">
        <x:v>Technical Query</x:v>
      </x:c>
      <x:c r="E59" s="86" t="n">
        <x:v>46222</x:v>
      </x:c>
      <x:c r="F59" s="86" t="n">
        <x:v>46233</x:v>
      </x:c>
      <x:c r="G59" s="86"/>
      <x:c r="H59" s="85" t="str">
        <x:v>In Progress</x:v>
      </x:c>
      <x:c r="I59" s="85" t="str">
        <x:v>Low</x:v>
      </x:c>
      <x:c r="J59" s="87" t="n">
        <x:v>55</x:v>
      </x:c>
      <x:c r="K59" s="85" t="str">
        <x:v>None</x:v>
      </x:c>
      <x:c r="L59" s="86" t="n">
        <x:v>46253</x:v>
      </x:c>
      <x:c r="M59" s="85" t="str">
        <x:v>Team Lead A</x:v>
      </x:c>
      <x:c r="N59" s="88" t="n">
        <x:f>IF(AND(H59&lt;&gt;"Completed",F59&lt;'Summary'!$B$3),'Summary'!$B$3-F59,0)</x:f>
        <x:v>33</x:v>
      </x:c>
      <x:c r="O59" s="88" t="n">
        <x:f>'Summary'!$B$3-L59</x:f>
        <x:v>13</x:v>
      </x:c>
      <x:c r="P59" s="88" t="str">
        <x:f>IF(AND(H59="Completed",G59&lt;&gt;"",F59&lt;&gt;""),G59-F59,"")</x:f>
      </x:c>
      <x:c r="Q59" s="89" t="str">
        <x:f>IF(OR(H59="On Hold",AND(I59="High",N59&gt;7,H59&lt;&gt;"Completed")),"Critical",IF(OR(AND(N59&gt;=1,N59&lt;=7,H59&lt;&gt;"Completed"),AND(O59&gt;7,H59&lt;&gt;"Completed")),"Warning","Normal"))</x:f>
        <x:v>Warning</x:v>
      </x:c>
      <x:c r="R59" s="90" t="str">
        <x:f>IF(AND(I59="High",N59&gt;7,H59&lt;&gt;"Completed"),"High-priority activity overdue by more than 7 days",IF(H59="On Hold","Activity is on hold",IF(AND(O59&gt;7,H59&lt;&gt;"Completed"),"Open activity has a stale update (&gt;7 days)",IF(AND(N59&gt;=1,N59&lt;=7,H59&lt;&gt;"Completed"),"Open activity overdue by 1-7 days",""))))</x:f>
        <x:v>Open activity has a stale update (&gt;7 days)</x:v>
      </x:c>
    </x:row>
    <x:row r="60">
      <x:c r="A60" s="84" t="str">
        <x:v>ACT-0056</x:v>
      </x:c>
      <x:c r="B60" s="85" t="str">
        <x:v>Project Controls</x:v>
      </x:c>
      <x:c r="C60" s="85" t="str">
        <x:v>PC-A</x:v>
      </x:c>
      <x:c r="D60" s="85" t="str">
        <x:v>Schedule Review</x:v>
      </x:c>
      <x:c r="E60" s="86" t="n">
        <x:v>46202</x:v>
      </x:c>
      <x:c r="F60" s="86" t="n">
        <x:v>46225</x:v>
      </x:c>
      <x:c r="G60" s="86" t="n">
        <x:v>46221</x:v>
      </x:c>
      <x:c r="H60" s="85" t="str">
        <x:v>Completed</x:v>
      </x:c>
      <x:c r="I60" s="85" t="str">
        <x:v>Low</x:v>
      </x:c>
      <x:c r="J60" s="87" t="n">
        <x:v>100</x:v>
      </x:c>
      <x:c r="K60" s="85" t="str">
        <x:v>Documentation</x:v>
      </x:c>
      <x:c r="L60" s="86" t="n">
        <x:v>46221</x:v>
      </x:c>
      <x:c r="M60" s="85" t="str">
        <x:v>Team Lead B</x:v>
      </x:c>
      <x:c r="N60" s="88" t="n">
        <x:f>IF(AND(H60&lt;&gt;"Completed",F60&lt;'Summary'!$B$3),'Summary'!$B$3-F60,0)</x:f>
        <x:v>0</x:v>
      </x:c>
      <x:c r="O60" s="88" t="n">
        <x:f>'Summary'!$B$3-L60</x:f>
        <x:v>45</x:v>
      </x:c>
      <x:c r="P60" s="88" t="n">
        <x:f>IF(AND(H60="Completed",G60&lt;&gt;"",F60&lt;&gt;""),G60-F60,"")</x:f>
        <x:v>-4</x:v>
      </x:c>
      <x:c r="Q60" s="89" t="str">
        <x:f>IF(OR(H60="On Hold",AND(I60="High",N60&gt;7,H60&lt;&gt;"Completed")),"Critical",IF(OR(AND(N60&gt;=1,N60&lt;=7,H60&lt;&gt;"Completed"),AND(O60&gt;7,H60&lt;&gt;"Completed")),"Warning","Normal"))</x:f>
        <x:v>Normal</x:v>
      </x:c>
      <x:c r="R60" s="90" t="str">
        <x:f>IF(AND(I60="High",N60&gt;7,H60&lt;&gt;"Completed"),"High-priority activity overdue by more than 7 days",IF(H60="On Hold","Activity is on hold",IF(AND(O60&gt;7,H60&lt;&gt;"Completed"),"Open activity has a stale update (&gt;7 days)",IF(AND(N60&gt;=1,N60&lt;=7,H60&lt;&gt;"Completed"),"Open activity overdue by 1-7 days",""))))</x:f>
      </x:c>
    </x:row>
    <x:row r="61">
      <x:c r="A61" s="84" t="str">
        <x:v>ACT-0057</x:v>
      </x:c>
      <x:c r="B61" s="85" t="str">
        <x:v>Project Controls</x:v>
      </x:c>
      <x:c r="C61" s="85" t="str">
        <x:v>PC-A</x:v>
      </x:c>
      <x:c r="D61" s="85" t="str">
        <x:v>Progress Update</x:v>
      </x:c>
      <x:c r="E61" s="86" t="n">
        <x:v>46190</x:v>
      </x:c>
      <x:c r="F61" s="86" t="n">
        <x:v>46208</x:v>
      </x:c>
      <x:c r="G61" s="86" t="n">
        <x:v>46209</x:v>
      </x:c>
      <x:c r="H61" s="85" t="str">
        <x:v>Completed</x:v>
      </x:c>
      <x:c r="I61" s="85" t="str">
        <x:v>Medium</x:v>
      </x:c>
      <x:c r="J61" s="87" t="n">
        <x:v>100</x:v>
      </x:c>
      <x:c r="K61" s="85" t="str">
        <x:v>Material Delay</x:v>
      </x:c>
      <x:c r="L61" s="86" t="n">
        <x:v>46206</x:v>
      </x:c>
      <x:c r="M61" s="85" t="str">
        <x:v>Team Lead C</x:v>
      </x:c>
      <x:c r="N61" s="88" t="n">
        <x:f>IF(AND(H61&lt;&gt;"Completed",F61&lt;'Summary'!$B$3),'Summary'!$B$3-F61,0)</x:f>
        <x:v>0</x:v>
      </x:c>
      <x:c r="O61" s="88" t="n">
        <x:f>'Summary'!$B$3-L61</x:f>
        <x:v>60</x:v>
      </x:c>
      <x:c r="P61" s="88" t="n">
        <x:f>IF(AND(H61="Completed",G61&lt;&gt;"",F61&lt;&gt;""),G61-F61,"")</x:f>
        <x:v>1</x:v>
      </x:c>
      <x:c r="Q61" s="89" t="str">
        <x:f>IF(OR(H61="On Hold",AND(I61="High",N61&gt;7,H61&lt;&gt;"Completed")),"Critical",IF(OR(AND(N61&gt;=1,N61&lt;=7,H61&lt;&gt;"Completed"),AND(O61&gt;7,H61&lt;&gt;"Completed")),"Warning","Normal"))</x:f>
        <x:v>Normal</x:v>
      </x:c>
      <x:c r="R61" s="90" t="str">
        <x:f>IF(AND(I61="High",N61&gt;7,H61&lt;&gt;"Completed"),"High-priority activity overdue by more than 7 days",IF(H61="On Hold","Activity is on hold",IF(AND(O61&gt;7,H61&lt;&gt;"Completed"),"Open activity has a stale update (&gt;7 days)",IF(AND(N61&gt;=1,N61&lt;=7,H61&lt;&gt;"Completed"),"Open activity overdue by 1-7 days",""))))</x:f>
      </x:c>
    </x:row>
    <x:row r="62">
      <x:c r="A62" s="84" t="str">
        <x:v>ACT-0058</x:v>
      </x:c>
      <x:c r="B62" s="85" t="str">
        <x:v>Engineering</x:v>
      </x:c>
      <x:c r="C62" s="85" t="str">
        <x:v>ENG-A</x:v>
      </x:c>
      <x:c r="D62" s="85" t="str">
        <x:v>RFI Closure</x:v>
      </x:c>
      <x:c r="E62" s="86" t="n">
        <x:v>46213</x:v>
      </x:c>
      <x:c r="F62" s="86" t="n">
        <x:v>46219</x:v>
      </x:c>
      <x:c r="G62" s="86" t="n">
        <x:v>46232</x:v>
      </x:c>
      <x:c r="H62" s="85" t="str">
        <x:v>Completed</x:v>
      </x:c>
      <x:c r="I62" s="85" t="str">
        <x:v>Low</x:v>
      </x:c>
      <x:c r="J62" s="87" t="n">
        <x:v>100</x:v>
      </x:c>
      <x:c r="K62" s="85" t="str">
        <x:v>None</x:v>
      </x:c>
      <x:c r="L62" s="86" t="n">
        <x:v>46229</x:v>
      </x:c>
      <x:c r="M62" s="85" t="str">
        <x:v>Team Lead F</x:v>
      </x:c>
      <x:c r="N62" s="88" t="n">
        <x:f>IF(AND(H62&lt;&gt;"Completed",F62&lt;'Summary'!$B$3),'Summary'!$B$3-F62,0)</x:f>
        <x:v>0</x:v>
      </x:c>
      <x:c r="O62" s="88" t="n">
        <x:f>'Summary'!$B$3-L62</x:f>
        <x:v>37</x:v>
      </x:c>
      <x:c r="P62" s="88" t="n">
        <x:f>IF(AND(H62="Completed",G62&lt;&gt;"",F62&lt;&gt;""),G62-F62,"")</x:f>
        <x:v>13</x:v>
      </x:c>
      <x:c r="Q62" s="89" t="str">
        <x:f>IF(OR(H62="On Hold",AND(I62="High",N62&gt;7,H62&lt;&gt;"Completed")),"Critical",IF(OR(AND(N62&gt;=1,N62&lt;=7,H62&lt;&gt;"Completed"),AND(O62&gt;7,H62&lt;&gt;"Completed")),"Warning","Normal"))</x:f>
        <x:v>Normal</x:v>
      </x:c>
      <x:c r="R62" s="90" t="str">
        <x:f>IF(AND(I62="High",N62&gt;7,H62&lt;&gt;"Completed"),"High-priority activity overdue by more than 7 days",IF(H62="On Hold","Activity is on hold",IF(AND(O62&gt;7,H62&lt;&gt;"Completed"),"Open activity has a stale update (&gt;7 days)",IF(AND(N62&gt;=1,N62&lt;=7,H62&lt;&gt;"Completed"),"Open activity overdue by 1-7 days",""))))</x:f>
      </x:c>
    </x:row>
    <x:row r="63">
      <x:c r="A63" s="84" t="str">
        <x:v>ACT-0059</x:v>
      </x:c>
      <x:c r="B63" s="85" t="str">
        <x:v>Engineering</x:v>
      </x:c>
      <x:c r="C63" s="85" t="str">
        <x:v>ENG-A</x:v>
      </x:c>
      <x:c r="D63" s="85" t="str">
        <x:v>Drawing Review</x:v>
      </x:c>
      <x:c r="E63" s="86" t="n">
        <x:v>46263</x:v>
      </x:c>
      <x:c r="F63" s="86" t="n">
        <x:v>46290</x:v>
      </x:c>
      <x:c r="G63" s="86"/>
      <x:c r="H63" s="85" t="str">
        <x:v>In Progress</x:v>
      </x:c>
      <x:c r="I63" s="85" t="str">
        <x:v>Medium</x:v>
      </x:c>
      <x:c r="J63" s="87" t="n">
        <x:v>95</x:v>
      </x:c>
      <x:c r="K63" s="85" t="str">
        <x:v>Documentation</x:v>
      </x:c>
      <x:c r="L63" s="86" t="n">
        <x:v>46265</x:v>
      </x:c>
      <x:c r="M63" s="85" t="str">
        <x:v>Team Lead E</x:v>
      </x:c>
      <x:c r="N63" s="88" t="n">
        <x:f>IF(AND(H63&lt;&gt;"Completed",F63&lt;'Summary'!$B$3),'Summary'!$B$3-F63,0)</x:f>
        <x:v>0</x:v>
      </x:c>
      <x:c r="O63" s="88" t="n">
        <x:f>'Summary'!$B$3-L63</x:f>
        <x:v>1</x:v>
      </x:c>
      <x:c r="P63" s="88" t="str">
        <x:f>IF(AND(H63="Completed",G63&lt;&gt;"",F63&lt;&gt;""),G63-F63,"")</x:f>
      </x:c>
      <x:c r="Q63" s="89" t="str">
        <x:f>IF(OR(H63="On Hold",AND(I63="High",N63&gt;7,H63&lt;&gt;"Completed")),"Critical",IF(OR(AND(N63&gt;=1,N63&lt;=7,H63&lt;&gt;"Completed"),AND(O63&gt;7,H63&lt;&gt;"Completed")),"Warning","Normal"))</x:f>
        <x:v>Normal</x:v>
      </x:c>
      <x:c r="R63" s="90" t="str">
        <x:f>IF(AND(I63="High",N63&gt;7,H63&lt;&gt;"Completed"),"High-priority activity overdue by more than 7 days",IF(H63="On Hold","Activity is on hold",IF(AND(O63&gt;7,H63&lt;&gt;"Completed"),"Open activity has a stale update (&gt;7 days)",IF(AND(N63&gt;=1,N63&lt;=7,H63&lt;&gt;"Completed"),"Open activity overdue by 1-7 days",""))))</x:f>
      </x:c>
    </x:row>
    <x:row r="64">
      <x:c r="A64" s="84" t="str">
        <x:v>ACT-0060</x:v>
      </x:c>
      <x:c r="B64" s="85" t="str">
        <x:v>Project Controls</x:v>
      </x:c>
      <x:c r="C64" s="85" t="str">
        <x:v>PC-A</x:v>
      </x:c>
      <x:c r="D64" s="85" t="str">
        <x:v>KPI Update</x:v>
      </x:c>
      <x:c r="E64" s="86" t="n">
        <x:v>46228</x:v>
      </x:c>
      <x:c r="F64" s="86" t="n">
        <x:v>46252</x:v>
      </x:c>
      <x:c r="G64" s="86" t="n">
        <x:v>46257</x:v>
      </x:c>
      <x:c r="H64" s="85" t="str">
        <x:v>Completed</x:v>
      </x:c>
      <x:c r="I64" s="85" t="str">
        <x:v>Medium</x:v>
      </x:c>
      <x:c r="J64" s="87" t="n">
        <x:v>100</x:v>
      </x:c>
      <x:c r="K64" s="85" t="str">
        <x:v>Rework</x:v>
      </x:c>
      <x:c r="L64" s="86" t="n">
        <x:v>46257</x:v>
      </x:c>
      <x:c r="M64" s="85" t="str">
        <x:v>Team Lead D</x:v>
      </x:c>
      <x:c r="N64" s="88" t="n">
        <x:f>IF(AND(H64&lt;&gt;"Completed",F64&lt;'Summary'!$B$3),'Summary'!$B$3-F64,0)</x:f>
        <x:v>0</x:v>
      </x:c>
      <x:c r="O64" s="88" t="n">
        <x:f>'Summary'!$B$3-L64</x:f>
        <x:v>9</x:v>
      </x:c>
      <x:c r="P64" s="88" t="n">
        <x:f>IF(AND(H64="Completed",G64&lt;&gt;"",F64&lt;&gt;""),G64-F64,"")</x:f>
        <x:v>5</x:v>
      </x:c>
      <x:c r="Q64" s="89" t="str">
        <x:f>IF(OR(H64="On Hold",AND(I64="High",N64&gt;7,H64&lt;&gt;"Completed")),"Critical",IF(OR(AND(N64&gt;=1,N64&lt;=7,H64&lt;&gt;"Completed"),AND(O64&gt;7,H64&lt;&gt;"Completed")),"Warning","Normal"))</x:f>
        <x:v>Normal</x:v>
      </x:c>
      <x:c r="R64" s="90" t="str">
        <x:f>IF(AND(I64="High",N64&gt;7,H64&lt;&gt;"Completed"),"High-priority activity overdue by more than 7 days",IF(H64="On Hold","Activity is on hold",IF(AND(O64&gt;7,H64&lt;&gt;"Completed"),"Open activity has a stale update (&gt;7 days)",IF(AND(N64&gt;=1,N64&lt;=7,H64&lt;&gt;"Completed"),"Open activity overdue by 1-7 days",""))))</x:f>
      </x:c>
    </x:row>
    <x:row r="65">
      <x:c r="A65" s="84" t="str">
        <x:v>ACT-0061</x:v>
      </x:c>
      <x:c r="B65" s="85" t="str">
        <x:v>Engineering</x:v>
      </x:c>
      <x:c r="C65" s="85" t="str">
        <x:v>ENG-B</x:v>
      </x:c>
      <x:c r="D65" s="85" t="str">
        <x:v>Design Update</x:v>
      </x:c>
      <x:c r="E65" s="86" t="n">
        <x:v>46264</x:v>
      </x:c>
      <x:c r="F65" s="86" t="n">
        <x:v>46271</x:v>
      </x:c>
      <x:c r="G65" s="86"/>
      <x:c r="H65" s="85" t="str">
        <x:v>In Progress</x:v>
      </x:c>
      <x:c r="I65" s="85" t="str">
        <x:v>Medium</x:v>
      </x:c>
      <x:c r="J65" s="87" t="n">
        <x:v>85</x:v>
      </x:c>
      <x:c r="K65" s="85" t="str">
        <x:v>Manpower</x:v>
      </x:c>
      <x:c r="L65" s="86" t="n">
        <x:v>46262</x:v>
      </x:c>
      <x:c r="M65" s="85" t="str">
        <x:v>Team Lead E</x:v>
      </x:c>
      <x:c r="N65" s="88" t="n">
        <x:f>IF(AND(H65&lt;&gt;"Completed",F65&lt;'Summary'!$B$3),'Summary'!$B$3-F65,0)</x:f>
        <x:v>0</x:v>
      </x:c>
      <x:c r="O65" s="88" t="n">
        <x:f>'Summary'!$B$3-L65</x:f>
        <x:v>4</x:v>
      </x:c>
      <x:c r="P65" s="88" t="str">
        <x:f>IF(AND(H65="Completed",G65&lt;&gt;"",F65&lt;&gt;""),G65-F65,"")</x:f>
      </x:c>
      <x:c r="Q65" s="89" t="str">
        <x:f>IF(OR(H65="On Hold",AND(I65="High",N65&gt;7,H65&lt;&gt;"Completed")),"Critical",IF(OR(AND(N65&gt;=1,N65&lt;=7,H65&lt;&gt;"Completed"),AND(O65&gt;7,H65&lt;&gt;"Completed")),"Warning","Normal"))</x:f>
        <x:v>Normal</x:v>
      </x:c>
      <x:c r="R65" s="90" t="str">
        <x:f>IF(AND(I65="High",N65&gt;7,H65&lt;&gt;"Completed"),"High-priority activity overdue by more than 7 days",IF(H65="On Hold","Activity is on hold",IF(AND(O65&gt;7,H65&lt;&gt;"Completed"),"Open activity has a stale update (&gt;7 days)",IF(AND(N65&gt;=1,N65&lt;=7,H65&lt;&gt;"Completed"),"Open activity overdue by 1-7 days",""))))</x:f>
      </x:c>
    </x:row>
    <x:row r="66">
      <x:c r="A66" s="84" t="str">
        <x:v>ACT-0062</x:v>
      </x:c>
      <x:c r="B66" s="85" t="str">
        <x:v>Project Controls</x:v>
      </x:c>
      <x:c r="C66" s="85" t="str">
        <x:v>PC-A</x:v>
      </x:c>
      <x:c r="D66" s="85" t="str">
        <x:v>Schedule Review</x:v>
      </x:c>
      <x:c r="E66" s="86" t="n">
        <x:v>46249</x:v>
      </x:c>
      <x:c r="F66" s="86" t="n">
        <x:v>46260</x:v>
      </x:c>
      <x:c r="G66" s="86" t="n">
        <x:v>46257</x:v>
      </x:c>
      <x:c r="H66" s="85" t="str">
        <x:v>Completed</x:v>
      </x:c>
      <x:c r="I66" s="85" t="str">
        <x:v>Medium</x:v>
      </x:c>
      <x:c r="J66" s="87" t="n">
        <x:v>100</x:v>
      </x:c>
      <x:c r="K66" s="85" t="str">
        <x:v>Documentation</x:v>
      </x:c>
      <x:c r="L66" s="86" t="n">
        <x:v>46255</x:v>
      </x:c>
      <x:c r="M66" s="85" t="str">
        <x:v>Team Lead B</x:v>
      </x:c>
      <x:c r="N66" s="88" t="n">
        <x:f>IF(AND(H66&lt;&gt;"Completed",F66&lt;'Summary'!$B$3),'Summary'!$B$3-F66,0)</x:f>
        <x:v>0</x:v>
      </x:c>
      <x:c r="O66" s="88" t="n">
        <x:f>'Summary'!$B$3-L66</x:f>
        <x:v>11</x:v>
      </x:c>
      <x:c r="P66" s="88" t="n">
        <x:f>IF(AND(H66="Completed",G66&lt;&gt;"",F66&lt;&gt;""),G66-F66,"")</x:f>
        <x:v>-3</x:v>
      </x:c>
      <x:c r="Q66" s="89" t="str">
        <x:f>IF(OR(H66="On Hold",AND(I66="High",N66&gt;7,H66&lt;&gt;"Completed")),"Critical",IF(OR(AND(N66&gt;=1,N66&lt;=7,H66&lt;&gt;"Completed"),AND(O66&gt;7,H66&lt;&gt;"Completed")),"Warning","Normal"))</x:f>
        <x:v>Normal</x:v>
      </x:c>
      <x:c r="R66" s="90" t="str">
        <x:f>IF(AND(I66="High",N66&gt;7,H66&lt;&gt;"Completed"),"High-priority activity overdue by more than 7 days",IF(H66="On Hold","Activity is on hold",IF(AND(O66&gt;7,H66&lt;&gt;"Completed"),"Open activity has a stale update (&gt;7 days)",IF(AND(N66&gt;=1,N66&lt;=7,H66&lt;&gt;"Completed"),"Open activity overdue by 1-7 days",""))))</x:f>
      </x:c>
    </x:row>
    <x:row r="67">
      <x:c r="A67" s="84" t="str">
        <x:v>ACT-0063</x:v>
      </x:c>
      <x:c r="B67" s="85" t="str">
        <x:v>Project Controls</x:v>
      </x:c>
      <x:c r="C67" s="85" t="str">
        <x:v>PC-A</x:v>
      </x:c>
      <x:c r="D67" s="85" t="str">
        <x:v>Schedule Review</x:v>
      </x:c>
      <x:c r="E67" s="86" t="n">
        <x:v>46177</x:v>
      </x:c>
      <x:c r="F67" s="86" t="n">
        <x:v>46195</x:v>
      </x:c>
      <x:c r="G67" s="86"/>
      <x:c r="H67" s="85" t="str">
        <x:v>In Progress</x:v>
      </x:c>
      <x:c r="I67" s="85" t="str">
        <x:v>High</x:v>
      </x:c>
      <x:c r="J67" s="87" t="n">
        <x:v>50</x:v>
      </x:c>
      <x:c r="K67" s="85" t="str">
        <x:v>Documentation</x:v>
      </x:c>
      <x:c r="L67" s="86" t="n">
        <x:v>46261</x:v>
      </x:c>
      <x:c r="M67" s="85" t="str">
        <x:v>Team Lead C</x:v>
      </x:c>
      <x:c r="N67" s="88" t="n">
        <x:f>IF(AND(H67&lt;&gt;"Completed",F67&lt;'Summary'!$B$3),'Summary'!$B$3-F67,0)</x:f>
        <x:v>71</x:v>
      </x:c>
      <x:c r="O67" s="88" t="n">
        <x:f>'Summary'!$B$3-L67</x:f>
        <x:v>5</x:v>
      </x:c>
      <x:c r="P67" s="88" t="str">
        <x:f>IF(AND(H67="Completed",G67&lt;&gt;"",F67&lt;&gt;""),G67-F67,"")</x:f>
      </x:c>
      <x:c r="Q67" s="89" t="str">
        <x:f>IF(OR(H67="On Hold",AND(I67="High",N67&gt;7,H67&lt;&gt;"Completed")),"Critical",IF(OR(AND(N67&gt;=1,N67&lt;=7,H67&lt;&gt;"Completed"),AND(O67&gt;7,H67&lt;&gt;"Completed")),"Warning","Normal"))</x:f>
        <x:v>Critical</x:v>
      </x:c>
      <x:c r="R67" s="90" t="str">
        <x:f>IF(AND(I67="High",N67&gt;7,H67&lt;&gt;"Completed"),"High-priority activity overdue by more than 7 days",IF(H67="On Hold","Activity is on hold",IF(AND(O67&gt;7,H67&lt;&gt;"Completed"),"Open activity has a stale update (&gt;7 days)",IF(AND(N67&gt;=1,N67&lt;=7,H67&lt;&gt;"Completed"),"Open activity overdue by 1-7 days",""))))</x:f>
        <x:v>High-priority activity overdue by more than 7 days</x:v>
      </x:c>
    </x:row>
    <x:row r="68">
      <x:c r="A68" s="84" t="str">
        <x:v>ACT-0064</x:v>
      </x:c>
      <x:c r="B68" s="85" t="str">
        <x:v>QA/QC</x:v>
      </x:c>
      <x:c r="C68" s="85" t="str">
        <x:v>QA-B</x:v>
      </x:c>
      <x:c r="D68" s="85" t="str">
        <x:v>Test Package</x:v>
      </x:c>
      <x:c r="E68" s="86" t="n">
        <x:v>46240</x:v>
      </x:c>
      <x:c r="F68" s="86" t="n">
        <x:v>46249</x:v>
      </x:c>
      <x:c r="G68" s="86" t="n">
        <x:v>46259</x:v>
      </x:c>
      <x:c r="H68" s="85" t="str">
        <x:v>Completed</x:v>
      </x:c>
      <x:c r="I68" s="85" t="str">
        <x:v>Medium</x:v>
      </x:c>
      <x:c r="J68" s="87" t="n">
        <x:v>100</x:v>
      </x:c>
      <x:c r="K68" s="85" t="str">
        <x:v>Manpower</x:v>
      </x:c>
      <x:c r="L68" s="86" t="n">
        <x:v>46255</x:v>
      </x:c>
      <x:c r="M68" s="85" t="str">
        <x:v>Team Lead F</x:v>
      </x:c>
      <x:c r="N68" s="88" t="n">
        <x:f>IF(AND(H68&lt;&gt;"Completed",F68&lt;'Summary'!$B$3),'Summary'!$B$3-F68,0)</x:f>
        <x:v>0</x:v>
      </x:c>
      <x:c r="O68" s="88" t="n">
        <x:f>'Summary'!$B$3-L68</x:f>
        <x:v>11</x:v>
      </x:c>
      <x:c r="P68" s="88" t="n">
        <x:f>IF(AND(H68="Completed",G68&lt;&gt;"",F68&lt;&gt;""),G68-F68,"")</x:f>
        <x:v>10</x:v>
      </x:c>
      <x:c r="Q68" s="89" t="str">
        <x:f>IF(OR(H68="On Hold",AND(I68="High",N68&gt;7,H68&lt;&gt;"Completed")),"Critical",IF(OR(AND(N68&gt;=1,N68&lt;=7,H68&lt;&gt;"Completed"),AND(O68&gt;7,H68&lt;&gt;"Completed")),"Warning","Normal"))</x:f>
        <x:v>Normal</x:v>
      </x:c>
      <x:c r="R68" s="90" t="str">
        <x:f>IF(AND(I68="High",N68&gt;7,H68&lt;&gt;"Completed"),"High-priority activity overdue by more than 7 days",IF(H68="On Hold","Activity is on hold",IF(AND(O68&gt;7,H68&lt;&gt;"Completed"),"Open activity has a stale update (&gt;7 days)",IF(AND(N68&gt;=1,N68&lt;=7,H68&lt;&gt;"Completed"),"Open activity overdue by 1-7 days",""))))</x:f>
      </x:c>
    </x:row>
    <x:row r="69">
      <x:c r="A69" s="84" t="str">
        <x:v>ACT-0065</x:v>
      </x:c>
      <x:c r="B69" s="85" t="str">
        <x:v>Construction</x:v>
      </x:c>
      <x:c r="C69" s="85" t="str">
        <x:v>CONST-B</x:v>
      </x:c>
      <x:c r="D69" s="85" t="str">
        <x:v>Site Preparation</x:v>
      </x:c>
      <x:c r="E69" s="86" t="n">
        <x:v>46176</x:v>
      </x:c>
      <x:c r="F69" s="86" t="n">
        <x:v>46181</x:v>
      </x:c>
      <x:c r="G69" s="86" t="n">
        <x:v>46183</x:v>
      </x:c>
      <x:c r="H69" s="85" t="str">
        <x:v>Completed</x:v>
      </x:c>
      <x:c r="I69" s="85" t="str">
        <x:v>Medium</x:v>
      </x:c>
      <x:c r="J69" s="87" t="n">
        <x:v>100</x:v>
      </x:c>
      <x:c r="K69" s="85" t="str">
        <x:v>Material Delay</x:v>
      </x:c>
      <x:c r="L69" s="86" t="n">
        <x:v>46181</x:v>
      </x:c>
      <x:c r="M69" s="85" t="str">
        <x:v>Team Lead C</x:v>
      </x:c>
      <x:c r="N69" s="88" t="n">
        <x:f>IF(AND(H69&lt;&gt;"Completed",F69&lt;'Summary'!$B$3),'Summary'!$B$3-F69,0)</x:f>
        <x:v>0</x:v>
      </x:c>
      <x:c r="O69" s="88" t="n">
        <x:f>'Summary'!$B$3-L69</x:f>
        <x:v>85</x:v>
      </x:c>
      <x:c r="P69" s="88" t="n">
        <x:f>IF(AND(H69="Completed",G69&lt;&gt;"",F69&lt;&gt;""),G69-F69,"")</x:f>
        <x:v>2</x:v>
      </x:c>
      <x:c r="Q69" s="89" t="str">
        <x:f>IF(OR(H69="On Hold",AND(I69="High",N69&gt;7,H69&lt;&gt;"Completed")),"Critical",IF(OR(AND(N69&gt;=1,N69&lt;=7,H69&lt;&gt;"Completed"),AND(O69&gt;7,H69&lt;&gt;"Completed")),"Warning","Normal"))</x:f>
        <x:v>Normal</x:v>
      </x:c>
      <x:c r="R69" s="90" t="str">
        <x:f>IF(AND(I69="High",N69&gt;7,H69&lt;&gt;"Completed"),"High-priority activity overdue by more than 7 days",IF(H69="On Hold","Activity is on hold",IF(AND(O69&gt;7,H69&lt;&gt;"Completed"),"Open activity has a stale update (&gt;7 days)",IF(AND(N69&gt;=1,N69&lt;=7,H69&lt;&gt;"Completed"),"Open activity overdue by 1-7 days",""))))</x:f>
      </x:c>
    </x:row>
    <x:row r="70">
      <x:c r="A70" s="84" t="str">
        <x:v>ACT-0066</x:v>
      </x:c>
      <x:c r="B70" s="85" t="str">
        <x:v>Construction</x:v>
      </x:c>
      <x:c r="C70" s="85" t="str">
        <x:v>CONST-B</x:v>
      </x:c>
      <x:c r="D70" s="85" t="str">
        <x:v>Site Preparation</x:v>
      </x:c>
      <x:c r="E70" s="86" t="n">
        <x:v>46244</x:v>
      </x:c>
      <x:c r="F70" s="86" t="n">
        <x:v>46257</x:v>
      </x:c>
      <x:c r="G70" s="86" t="n">
        <x:v>46261</x:v>
      </x:c>
      <x:c r="H70" s="85" t="str">
        <x:v>Completed</x:v>
      </x:c>
      <x:c r="I70" s="85" t="str">
        <x:v>Medium</x:v>
      </x:c>
      <x:c r="J70" s="87" t="n">
        <x:v>100</x:v>
      </x:c>
      <x:c r="K70" s="85" t="str">
        <x:v>None</x:v>
      </x:c>
      <x:c r="L70" s="86" t="n">
        <x:v>46259</x:v>
      </x:c>
      <x:c r="M70" s="85" t="str">
        <x:v>Team Lead F</x:v>
      </x:c>
      <x:c r="N70" s="88" t="n">
        <x:f>IF(AND(H70&lt;&gt;"Completed",F70&lt;'Summary'!$B$3),'Summary'!$B$3-F70,0)</x:f>
        <x:v>0</x:v>
      </x:c>
      <x:c r="O70" s="88" t="n">
        <x:f>'Summary'!$B$3-L70</x:f>
        <x:v>7</x:v>
      </x:c>
      <x:c r="P70" s="88" t="n">
        <x:f>IF(AND(H70="Completed",G70&lt;&gt;"",F70&lt;&gt;""),G70-F70,"")</x:f>
        <x:v>4</x:v>
      </x:c>
      <x:c r="Q70" s="89" t="str">
        <x:f>IF(OR(H70="On Hold",AND(I70="High",N70&gt;7,H70&lt;&gt;"Completed")),"Critical",IF(OR(AND(N70&gt;=1,N70&lt;=7,H70&lt;&gt;"Completed"),AND(O70&gt;7,H70&lt;&gt;"Completed")),"Warning","Normal"))</x:f>
        <x:v>Normal</x:v>
      </x:c>
      <x:c r="R70" s="90" t="str">
        <x:f>IF(AND(I70="High",N70&gt;7,H70&lt;&gt;"Completed"),"High-priority activity overdue by more than 7 days",IF(H70="On Hold","Activity is on hold",IF(AND(O70&gt;7,H70&lt;&gt;"Completed"),"Open activity has a stale update (&gt;7 days)",IF(AND(N70&gt;=1,N70&lt;=7,H70&lt;&gt;"Completed"),"Open activity overdue by 1-7 days",""))))</x:f>
      </x:c>
    </x:row>
    <x:row r="71">
      <x:c r="A71" s="84" t="str">
        <x:v>ACT-0067</x:v>
      </x:c>
      <x:c r="B71" s="85" t="str">
        <x:v>Engineering</x:v>
      </x:c>
      <x:c r="C71" s="85" t="str">
        <x:v>ENG-A</x:v>
      </x:c>
      <x:c r="D71" s="85" t="str">
        <x:v>RFI Closure</x:v>
      </x:c>
      <x:c r="E71" s="86" t="n">
        <x:v>46198</x:v>
      </x:c>
      <x:c r="F71" s="86" t="n">
        <x:v>46207</x:v>
      </x:c>
      <x:c r="G71" s="86"/>
      <x:c r="H71" s="85" t="str">
        <x:v>In Progress</x:v>
      </x:c>
      <x:c r="I71" s="85" t="str">
        <x:v>Medium</x:v>
      </x:c>
      <x:c r="J71" s="87" t="n">
        <x:v>80</x:v>
      </x:c>
      <x:c r="K71" s="85" t="str">
        <x:v>Material Delay</x:v>
      </x:c>
      <x:c r="L71" s="86" t="n">
        <x:v>46254</x:v>
      </x:c>
      <x:c r="M71" s="85" t="str">
        <x:v>Team Lead C</x:v>
      </x:c>
      <x:c r="N71" s="88" t="n">
        <x:f>IF(AND(H71&lt;&gt;"Completed",F71&lt;'Summary'!$B$3),'Summary'!$B$3-F71,0)</x:f>
        <x:v>59</x:v>
      </x:c>
      <x:c r="O71" s="88" t="n">
        <x:f>'Summary'!$B$3-L71</x:f>
        <x:v>12</x:v>
      </x:c>
      <x:c r="P71" s="88" t="str">
        <x:f>IF(AND(H71="Completed",G71&lt;&gt;"",F71&lt;&gt;""),G71-F71,"")</x:f>
      </x:c>
      <x:c r="Q71" s="89" t="str">
        <x:f>IF(OR(H71="On Hold",AND(I71="High",N71&gt;7,H71&lt;&gt;"Completed")),"Critical",IF(OR(AND(N71&gt;=1,N71&lt;=7,H71&lt;&gt;"Completed"),AND(O71&gt;7,H71&lt;&gt;"Completed")),"Warning","Normal"))</x:f>
        <x:v>Warning</x:v>
      </x:c>
      <x:c r="R71" s="90" t="str">
        <x:f>IF(AND(I71="High",N71&gt;7,H71&lt;&gt;"Completed"),"High-priority activity overdue by more than 7 days",IF(H71="On Hold","Activity is on hold",IF(AND(O71&gt;7,H71&lt;&gt;"Completed"),"Open activity has a stale update (&gt;7 days)",IF(AND(N71&gt;=1,N71&lt;=7,H71&lt;&gt;"Completed"),"Open activity overdue by 1-7 days",""))))</x:f>
        <x:v>Open activity has a stale update (&gt;7 days)</x:v>
      </x:c>
    </x:row>
    <x:row r="72">
      <x:c r="A72" s="84" t="str">
        <x:v>ACT-0068</x:v>
      </x:c>
      <x:c r="B72" s="85" t="str">
        <x:v>Procurement</x:v>
      </x:c>
      <x:c r="C72" s="85" t="str">
        <x:v>PROC-A</x:v>
      </x:c>
      <x:c r="D72" s="85" t="str">
        <x:v>Vendor Follow-up</x:v>
      </x:c>
      <x:c r="E72" s="86" t="n">
        <x:v>46203</x:v>
      </x:c>
      <x:c r="F72" s="86" t="n">
        <x:v>46217</x:v>
      </x:c>
      <x:c r="G72" s="86" t="n">
        <x:v>46229</x:v>
      </x:c>
      <x:c r="H72" s="85" t="str">
        <x:v>Completed</x:v>
      </x:c>
      <x:c r="I72" s="85" t="str">
        <x:v>High</x:v>
      </x:c>
      <x:c r="J72" s="87" t="n">
        <x:v>100</x:v>
      </x:c>
      <x:c r="K72" s="85" t="str">
        <x:v>None</x:v>
      </x:c>
      <x:c r="L72" s="86" t="n">
        <x:v>46228</x:v>
      </x:c>
      <x:c r="M72" s="85" t="str">
        <x:v>Team Lead A</x:v>
      </x:c>
      <x:c r="N72" s="88" t="n">
        <x:f>IF(AND(H72&lt;&gt;"Completed",F72&lt;'Summary'!$B$3),'Summary'!$B$3-F72,0)</x:f>
        <x:v>0</x:v>
      </x:c>
      <x:c r="O72" s="88" t="n">
        <x:f>'Summary'!$B$3-L72</x:f>
        <x:v>38</x:v>
      </x:c>
      <x:c r="P72" s="88" t="n">
        <x:f>IF(AND(H72="Completed",G72&lt;&gt;"",F72&lt;&gt;""),G72-F72,"")</x:f>
        <x:v>12</x:v>
      </x:c>
      <x:c r="Q72" s="89" t="str">
        <x:f>IF(OR(H72="On Hold",AND(I72="High",N72&gt;7,H72&lt;&gt;"Completed")),"Critical",IF(OR(AND(N72&gt;=1,N72&lt;=7,H72&lt;&gt;"Completed"),AND(O72&gt;7,H72&lt;&gt;"Completed")),"Warning","Normal"))</x:f>
        <x:v>Normal</x:v>
      </x:c>
      <x:c r="R72" s="90" t="str">
        <x:f>IF(AND(I72="High",N72&gt;7,H72&lt;&gt;"Completed"),"High-priority activity overdue by more than 7 days",IF(H72="On Hold","Activity is on hold",IF(AND(O72&gt;7,H72&lt;&gt;"Completed"),"Open activity has a stale update (&gt;7 days)",IF(AND(N72&gt;=1,N72&lt;=7,H72&lt;&gt;"Completed"),"Open activity overdue by 1-7 days",""))))</x:f>
      </x:c>
    </x:row>
    <x:row r="73">
      <x:c r="A73" s="84" t="str">
        <x:v>ACT-0069</x:v>
      </x:c>
      <x:c r="B73" s="85" t="str">
        <x:v>Construction</x:v>
      </x:c>
      <x:c r="C73" s="85" t="str">
        <x:v>CONST-A</x:v>
      </x:c>
      <x:c r="D73" s="85" t="str">
        <x:v>Site Preparation</x:v>
      </x:c>
      <x:c r="E73" s="86" t="n">
        <x:v>46187</x:v>
      </x:c>
      <x:c r="F73" s="86" t="n">
        <x:v>46190</x:v>
      </x:c>
      <x:c r="G73" s="86" t="n">
        <x:v>46199</x:v>
      </x:c>
      <x:c r="H73" s="85" t="str">
        <x:v>Completed</x:v>
      </x:c>
      <x:c r="I73" s="85" t="str">
        <x:v>Medium</x:v>
      </x:c>
      <x:c r="J73" s="87" t="n">
        <x:v>100</x:v>
      </x:c>
      <x:c r="K73" s="85" t="str">
        <x:v>None</x:v>
      </x:c>
      <x:c r="L73" s="86" t="n">
        <x:v>46197</x:v>
      </x:c>
      <x:c r="M73" s="85" t="str">
        <x:v>Team Lead A</x:v>
      </x:c>
      <x:c r="N73" s="88" t="n">
        <x:f>IF(AND(H73&lt;&gt;"Completed",F73&lt;'Summary'!$B$3),'Summary'!$B$3-F73,0)</x:f>
        <x:v>0</x:v>
      </x:c>
      <x:c r="O73" s="88" t="n">
        <x:f>'Summary'!$B$3-L73</x:f>
        <x:v>69</x:v>
      </x:c>
      <x:c r="P73" s="88" t="n">
        <x:f>IF(AND(H73="Completed",G73&lt;&gt;"",F73&lt;&gt;""),G73-F73,"")</x:f>
        <x:v>9</x:v>
      </x:c>
      <x:c r="Q73" s="89" t="str">
        <x:f>IF(OR(H73="On Hold",AND(I73="High",N73&gt;7,H73&lt;&gt;"Completed")),"Critical",IF(OR(AND(N73&gt;=1,N73&lt;=7,H73&lt;&gt;"Completed"),AND(O73&gt;7,H73&lt;&gt;"Completed")),"Warning","Normal"))</x:f>
        <x:v>Normal</x:v>
      </x:c>
      <x:c r="R73" s="90" t="str">
        <x:f>IF(AND(I73="High",N73&gt;7,H73&lt;&gt;"Completed"),"High-priority activity overdue by more than 7 days",IF(H73="On Hold","Activity is on hold",IF(AND(O73&gt;7,H73&lt;&gt;"Completed"),"Open activity has a stale update (&gt;7 days)",IF(AND(N73&gt;=1,N73&lt;=7,H73&lt;&gt;"Completed"),"Open activity overdue by 1-7 days",""))))</x:f>
      </x:c>
    </x:row>
    <x:row r="74">
      <x:c r="A74" s="84" t="str">
        <x:v>ACT-0070</x:v>
      </x:c>
      <x:c r="B74" s="85" t="str">
        <x:v>QA/QC</x:v>
      </x:c>
      <x:c r="C74" s="85" t="str">
        <x:v>QA-B</x:v>
      </x:c>
      <x:c r="D74" s="85" t="str">
        <x:v>Test Package</x:v>
      </x:c>
      <x:c r="E74" s="86" t="n">
        <x:v>46182</x:v>
      </x:c>
      <x:c r="F74" s="86" t="n">
        <x:v>46197</x:v>
      </x:c>
      <x:c r="G74" s="86" t="n">
        <x:v>46193</x:v>
      </x:c>
      <x:c r="H74" s="85" t="str">
        <x:v>Completed</x:v>
      </x:c>
      <x:c r="I74" s="85" t="str">
        <x:v>Medium</x:v>
      </x:c>
      <x:c r="J74" s="87" t="n">
        <x:v>100</x:v>
      </x:c>
      <x:c r="K74" s="85" t="str">
        <x:v>None</x:v>
      </x:c>
      <x:c r="L74" s="86" t="n">
        <x:v>46192</x:v>
      </x:c>
      <x:c r="M74" s="85" t="str">
        <x:v>Team Lead E</x:v>
      </x:c>
      <x:c r="N74" s="88" t="n">
        <x:f>IF(AND(H74&lt;&gt;"Completed",F74&lt;'Summary'!$B$3),'Summary'!$B$3-F74,0)</x:f>
        <x:v>0</x:v>
      </x:c>
      <x:c r="O74" s="88" t="n">
        <x:f>'Summary'!$B$3-L74</x:f>
        <x:v>74</x:v>
      </x:c>
      <x:c r="P74" s="88" t="n">
        <x:f>IF(AND(H74="Completed",G74&lt;&gt;"",F74&lt;&gt;""),G74-F74,"")</x:f>
        <x:v>-4</x:v>
      </x:c>
      <x:c r="Q74" s="89" t="str">
        <x:f>IF(OR(H74="On Hold",AND(I74="High",N74&gt;7,H74&lt;&gt;"Completed")),"Critical",IF(OR(AND(N74&gt;=1,N74&lt;=7,H74&lt;&gt;"Completed"),AND(O74&gt;7,H74&lt;&gt;"Completed")),"Warning","Normal"))</x:f>
        <x:v>Normal</x:v>
      </x:c>
      <x:c r="R74" s="90" t="str">
        <x:f>IF(AND(I74="High",N74&gt;7,H74&lt;&gt;"Completed"),"High-priority activity overdue by more than 7 days",IF(H74="On Hold","Activity is on hold",IF(AND(O74&gt;7,H74&lt;&gt;"Completed"),"Open activity has a stale update (&gt;7 days)",IF(AND(N74&gt;=1,N74&lt;=7,H74&lt;&gt;"Completed"),"Open activity overdue by 1-7 days",""))))</x:f>
      </x:c>
    </x:row>
    <x:row r="75">
      <x:c r="A75" s="84" t="str">
        <x:v>ACT-0071</x:v>
      </x:c>
      <x:c r="B75" s="85" t="str">
        <x:v>Procurement</x:v>
      </x:c>
      <x:c r="C75" s="85" t="str">
        <x:v>PROC-A</x:v>
      </x:c>
      <x:c r="D75" s="85" t="str">
        <x:v>Material Delivery</x:v>
      </x:c>
      <x:c r="E75" s="86" t="n">
        <x:v>46189</x:v>
      </x:c>
      <x:c r="F75" s="86" t="n">
        <x:v>46209</x:v>
      </x:c>
      <x:c r="G75" s="86"/>
      <x:c r="H75" s="85" t="str">
        <x:v>In Progress</x:v>
      </x:c>
      <x:c r="I75" s="85" t="str">
        <x:v>Medium</x:v>
      </x:c>
      <x:c r="J75" s="87" t="n">
        <x:v>95</x:v>
      </x:c>
      <x:c r="K75" s="85" t="str">
        <x:v>None</x:v>
      </x:c>
      <x:c r="L75" s="86" t="n">
        <x:v>46257</x:v>
      </x:c>
      <x:c r="M75" s="85" t="str">
        <x:v>Team Lead E</x:v>
      </x:c>
      <x:c r="N75" s="88" t="n">
        <x:f>IF(AND(H75&lt;&gt;"Completed",F75&lt;'Summary'!$B$3),'Summary'!$B$3-F75,0)</x:f>
        <x:v>57</x:v>
      </x:c>
      <x:c r="O75" s="88" t="n">
        <x:f>'Summary'!$B$3-L75</x:f>
        <x:v>9</x:v>
      </x:c>
      <x:c r="P75" s="88" t="str">
        <x:f>IF(AND(H75="Completed",G75&lt;&gt;"",F75&lt;&gt;""),G75-F75,"")</x:f>
      </x:c>
      <x:c r="Q75" s="89" t="str">
        <x:f>IF(OR(H75="On Hold",AND(I75="High",N75&gt;7,H75&lt;&gt;"Completed")),"Critical",IF(OR(AND(N75&gt;=1,N75&lt;=7,H75&lt;&gt;"Completed"),AND(O75&gt;7,H75&lt;&gt;"Completed")),"Warning","Normal"))</x:f>
        <x:v>Warning</x:v>
      </x:c>
      <x:c r="R75" s="90" t="str">
        <x:f>IF(AND(I75="High",N75&gt;7,H75&lt;&gt;"Completed"),"High-priority activity overdue by more than 7 days",IF(H75="On Hold","Activity is on hold",IF(AND(O75&gt;7,H75&lt;&gt;"Completed"),"Open activity has a stale update (&gt;7 days)",IF(AND(N75&gt;=1,N75&lt;=7,H75&lt;&gt;"Completed"),"Open activity overdue by 1-7 days",""))))</x:f>
        <x:v>Open activity has a stale update (&gt;7 days)</x:v>
      </x:c>
    </x:row>
    <x:row r="76">
      <x:c r="A76" s="84" t="str">
        <x:v>ACT-0072</x:v>
      </x:c>
      <x:c r="B76" s="85" t="str">
        <x:v>QA/QC</x:v>
      </x:c>
      <x:c r="C76" s="85" t="str">
        <x:v>QA-B</x:v>
      </x:c>
      <x:c r="D76" s="85" t="str">
        <x:v>Punch Clearance</x:v>
      </x:c>
      <x:c r="E76" s="86" t="n">
        <x:v>46249</x:v>
      </x:c>
      <x:c r="F76" s="86" t="n">
        <x:v>46265</x:v>
      </x:c>
      <x:c r="G76" s="86" t="n">
        <x:v>46266</x:v>
      </x:c>
      <x:c r="H76" s="85" t="str">
        <x:v>Completed</x:v>
      </x:c>
      <x:c r="I76" s="85" t="str">
        <x:v>Medium</x:v>
      </x:c>
      <x:c r="J76" s="87" t="n">
        <x:v>100</x:v>
      </x:c>
      <x:c r="K76" s="85" t="str">
        <x:v>Approval Delay</x:v>
      </x:c>
      <x:c r="L76" s="86" t="n">
        <x:v>46265</x:v>
      </x:c>
      <x:c r="M76" s="85" t="str">
        <x:v>Team Lead C</x:v>
      </x:c>
      <x:c r="N76" s="88" t="n">
        <x:f>IF(AND(H76&lt;&gt;"Completed",F76&lt;'Summary'!$B$3),'Summary'!$B$3-F76,0)</x:f>
        <x:v>0</x:v>
      </x:c>
      <x:c r="O76" s="88" t="n">
        <x:f>'Summary'!$B$3-L76</x:f>
        <x:v>1</x:v>
      </x:c>
      <x:c r="P76" s="88" t="n">
        <x:f>IF(AND(H76="Completed",G76&lt;&gt;"",F76&lt;&gt;""),G76-F76,"")</x:f>
        <x:v>1</x:v>
      </x:c>
      <x:c r="Q76" s="89" t="str">
        <x:f>IF(OR(H76="On Hold",AND(I76="High",N76&gt;7,H76&lt;&gt;"Completed")),"Critical",IF(OR(AND(N76&gt;=1,N76&lt;=7,H76&lt;&gt;"Completed"),AND(O76&gt;7,H76&lt;&gt;"Completed")),"Warning","Normal"))</x:f>
        <x:v>Normal</x:v>
      </x:c>
      <x:c r="R76" s="90" t="str">
        <x:f>IF(AND(I76="High",N76&gt;7,H76&lt;&gt;"Completed"),"High-priority activity overdue by more than 7 days",IF(H76="On Hold","Activity is on hold",IF(AND(O76&gt;7,H76&lt;&gt;"Completed"),"Open activity has a stale update (&gt;7 days)",IF(AND(N76&gt;=1,N76&lt;=7,H76&lt;&gt;"Completed"),"Open activity overdue by 1-7 days",""))))</x:f>
      </x:c>
    </x:row>
    <x:row r="77">
      <x:c r="A77" s="84" t="str">
        <x:v>ACT-0073</x:v>
      </x:c>
      <x:c r="B77" s="85" t="str">
        <x:v>Construction</x:v>
      </x:c>
      <x:c r="C77" s="85" t="str">
        <x:v>CONST-A</x:v>
      </x:c>
      <x:c r="D77" s="85" t="str">
        <x:v>Punch Clearance</x:v>
      </x:c>
      <x:c r="E77" s="86" t="n">
        <x:v>46196</x:v>
      </x:c>
      <x:c r="F77" s="86" t="n">
        <x:v>46216</x:v>
      </x:c>
      <x:c r="G77" s="86" t="n">
        <x:v>46225</x:v>
      </x:c>
      <x:c r="H77" s="85" t="str">
        <x:v>Completed</x:v>
      </x:c>
      <x:c r="I77" s="85" t="str">
        <x:v>High</x:v>
      </x:c>
      <x:c r="J77" s="87" t="n">
        <x:v>100</x:v>
      </x:c>
      <x:c r="K77" s="85" t="str">
        <x:v>None</x:v>
      </x:c>
      <x:c r="L77" s="86" t="n">
        <x:v>46221</x:v>
      </x:c>
      <x:c r="M77" s="85" t="str">
        <x:v>Team Lead A</x:v>
      </x:c>
      <x:c r="N77" s="88" t="n">
        <x:f>IF(AND(H77&lt;&gt;"Completed",F77&lt;'Summary'!$B$3),'Summary'!$B$3-F77,0)</x:f>
        <x:v>0</x:v>
      </x:c>
      <x:c r="O77" s="88" t="n">
        <x:f>'Summary'!$B$3-L77</x:f>
        <x:v>45</x:v>
      </x:c>
      <x:c r="P77" s="88" t="n">
        <x:f>IF(AND(H77="Completed",G77&lt;&gt;"",F77&lt;&gt;""),G77-F77,"")</x:f>
        <x:v>9</x:v>
      </x:c>
      <x:c r="Q77" s="89" t="str">
        <x:f>IF(OR(H77="On Hold",AND(I77="High",N77&gt;7,H77&lt;&gt;"Completed")),"Critical",IF(OR(AND(N77&gt;=1,N77&lt;=7,H77&lt;&gt;"Completed"),AND(O77&gt;7,H77&lt;&gt;"Completed")),"Warning","Normal"))</x:f>
        <x:v>Normal</x:v>
      </x:c>
      <x:c r="R77" s="90" t="str">
        <x:f>IF(AND(I77="High",N77&gt;7,H77&lt;&gt;"Completed"),"High-priority activity overdue by more than 7 days",IF(H77="On Hold","Activity is on hold",IF(AND(O77&gt;7,H77&lt;&gt;"Completed"),"Open activity has a stale update (&gt;7 days)",IF(AND(N77&gt;=1,N77&lt;=7,H77&lt;&gt;"Completed"),"Open activity overdue by 1-7 days",""))))</x:f>
      </x:c>
    </x:row>
    <x:row r="78">
      <x:c r="A78" s="84" t="str">
        <x:v>ACT-0074</x:v>
      </x:c>
      <x:c r="B78" s="85" t="str">
        <x:v>Engineering</x:v>
      </x:c>
      <x:c r="C78" s="85" t="str">
        <x:v>ENG-B</x:v>
      </x:c>
      <x:c r="D78" s="85" t="str">
        <x:v>Design Update</x:v>
      </x:c>
      <x:c r="E78" s="86" t="n">
        <x:v>46183</x:v>
      </x:c>
      <x:c r="F78" s="86" t="n">
        <x:v>46207</x:v>
      </x:c>
      <x:c r="G78" s="86" t="n">
        <x:v>46220</x:v>
      </x:c>
      <x:c r="H78" s="85" t="str">
        <x:v>Completed</x:v>
      </x:c>
      <x:c r="I78" s="85" t="str">
        <x:v>Medium</x:v>
      </x:c>
      <x:c r="J78" s="87" t="n">
        <x:v>100</x:v>
      </x:c>
      <x:c r="K78" s="85" t="str">
        <x:v>None</x:v>
      </x:c>
      <x:c r="L78" s="86" t="n">
        <x:v>46219</x:v>
      </x:c>
      <x:c r="M78" s="85" t="str">
        <x:v>Team Lead E</x:v>
      </x:c>
      <x:c r="N78" s="88" t="n">
        <x:f>IF(AND(H78&lt;&gt;"Completed",F78&lt;'Summary'!$B$3),'Summary'!$B$3-F78,0)</x:f>
        <x:v>0</x:v>
      </x:c>
      <x:c r="O78" s="88" t="n">
        <x:f>'Summary'!$B$3-L78</x:f>
        <x:v>47</x:v>
      </x:c>
      <x:c r="P78" s="88" t="n">
        <x:f>IF(AND(H78="Completed",G78&lt;&gt;"",F78&lt;&gt;""),G78-F78,"")</x:f>
        <x:v>13</x:v>
      </x:c>
      <x:c r="Q78" s="89" t="str">
        <x:f>IF(OR(H78="On Hold",AND(I78="High",N78&gt;7,H78&lt;&gt;"Completed")),"Critical",IF(OR(AND(N78&gt;=1,N78&lt;=7,H78&lt;&gt;"Completed"),AND(O78&gt;7,H78&lt;&gt;"Completed")),"Warning","Normal"))</x:f>
        <x:v>Normal</x:v>
      </x:c>
      <x:c r="R78" s="90" t="str">
        <x:f>IF(AND(I78="High",N78&gt;7,H78&lt;&gt;"Completed"),"High-priority activity overdue by more than 7 days",IF(H78="On Hold","Activity is on hold",IF(AND(O78&gt;7,H78&lt;&gt;"Completed"),"Open activity has a stale update (&gt;7 days)",IF(AND(N78&gt;=1,N78&lt;=7,H78&lt;&gt;"Completed"),"Open activity overdue by 1-7 days",""))))</x:f>
      </x:c>
    </x:row>
    <x:row r="79">
      <x:c r="A79" s="84" t="str">
        <x:v>ACT-0075</x:v>
      </x:c>
      <x:c r="B79" s="85" t="str">
        <x:v>Engineering</x:v>
      </x:c>
      <x:c r="C79" s="85" t="str">
        <x:v>ENG-A</x:v>
      </x:c>
      <x:c r="D79" s="85" t="str">
        <x:v>Technical Query</x:v>
      </x:c>
      <x:c r="E79" s="86" t="n">
        <x:v>46192</x:v>
      </x:c>
      <x:c r="F79" s="86" t="n">
        <x:v>46197</x:v>
      </x:c>
      <x:c r="G79" s="86" t="n">
        <x:v>46211</x:v>
      </x:c>
      <x:c r="H79" s="85" t="str">
        <x:v>Completed</x:v>
      </x:c>
      <x:c r="I79" s="85" t="str">
        <x:v>Low</x:v>
      </x:c>
      <x:c r="J79" s="87" t="n">
        <x:v>100</x:v>
      </x:c>
      <x:c r="K79" s="85" t="str">
        <x:v>Documentation</x:v>
      </x:c>
      <x:c r="L79" s="86" t="n">
        <x:v>46207</x:v>
      </x:c>
      <x:c r="M79" s="85" t="str">
        <x:v>Team Lead D</x:v>
      </x:c>
      <x:c r="N79" s="88" t="n">
        <x:f>IF(AND(H79&lt;&gt;"Completed",F79&lt;'Summary'!$B$3),'Summary'!$B$3-F79,0)</x:f>
        <x:v>0</x:v>
      </x:c>
      <x:c r="O79" s="88" t="n">
        <x:f>'Summary'!$B$3-L79</x:f>
        <x:v>59</x:v>
      </x:c>
      <x:c r="P79" s="88" t="n">
        <x:f>IF(AND(H79="Completed",G79&lt;&gt;"",F79&lt;&gt;""),G79-F79,"")</x:f>
        <x:v>14</x:v>
      </x:c>
      <x:c r="Q79" s="89" t="str">
        <x:f>IF(OR(H79="On Hold",AND(I79="High",N79&gt;7,H79&lt;&gt;"Completed")),"Critical",IF(OR(AND(N79&gt;=1,N79&lt;=7,H79&lt;&gt;"Completed"),AND(O79&gt;7,H79&lt;&gt;"Completed")),"Warning","Normal"))</x:f>
        <x:v>Normal</x:v>
      </x:c>
      <x:c r="R79" s="90" t="str">
        <x:f>IF(AND(I79="High",N79&gt;7,H79&lt;&gt;"Completed"),"High-priority activity overdue by more than 7 days",IF(H79="On Hold","Activity is on hold",IF(AND(O79&gt;7,H79&lt;&gt;"Completed"),"Open activity has a stale update (&gt;7 days)",IF(AND(N79&gt;=1,N79&lt;=7,H79&lt;&gt;"Completed"),"Open activity overdue by 1-7 days",""))))</x:f>
      </x:c>
    </x:row>
    <x:row r="80">
      <x:c r="A80" s="84" t="str">
        <x:v>ACT-0076</x:v>
      </x:c>
      <x:c r="B80" s="85" t="str">
        <x:v>Engineering</x:v>
      </x:c>
      <x:c r="C80" s="85" t="str">
        <x:v>ENG-B</x:v>
      </x:c>
      <x:c r="D80" s="85" t="str">
        <x:v>Design Update</x:v>
      </x:c>
      <x:c r="E80" s="86" t="n">
        <x:v>46208</x:v>
      </x:c>
      <x:c r="F80" s="86" t="n">
        <x:v>46227</x:v>
      </x:c>
      <x:c r="G80" s="86" t="n">
        <x:v>46241</x:v>
      </x:c>
      <x:c r="H80" s="85" t="str">
        <x:v>Completed</x:v>
      </x:c>
      <x:c r="I80" s="85" t="str">
        <x:v>Medium</x:v>
      </x:c>
      <x:c r="J80" s="87" t="n">
        <x:v>100</x:v>
      </x:c>
      <x:c r="K80" s="85" t="str">
        <x:v>Documentation</x:v>
      </x:c>
      <x:c r="L80" s="86" t="n">
        <x:v>46241</x:v>
      </x:c>
      <x:c r="M80" s="85" t="str">
        <x:v>Team Lead F</x:v>
      </x:c>
      <x:c r="N80" s="88" t="n">
        <x:f>IF(AND(H80&lt;&gt;"Completed",F80&lt;'Summary'!$B$3),'Summary'!$B$3-F80,0)</x:f>
        <x:v>0</x:v>
      </x:c>
      <x:c r="O80" s="88" t="n">
        <x:f>'Summary'!$B$3-L80</x:f>
        <x:v>25</x:v>
      </x:c>
      <x:c r="P80" s="88" t="n">
        <x:f>IF(AND(H80="Completed",G80&lt;&gt;"",F80&lt;&gt;""),G80-F80,"")</x:f>
        <x:v>14</x:v>
      </x:c>
      <x:c r="Q80" s="89" t="str">
        <x:f>IF(OR(H80="On Hold",AND(I80="High",N80&gt;7,H80&lt;&gt;"Completed")),"Critical",IF(OR(AND(N80&gt;=1,N80&lt;=7,H80&lt;&gt;"Completed"),AND(O80&gt;7,H80&lt;&gt;"Completed")),"Warning","Normal"))</x:f>
        <x:v>Normal</x:v>
      </x:c>
      <x:c r="R80" s="90" t="str">
        <x:f>IF(AND(I80="High",N80&gt;7,H80&lt;&gt;"Completed"),"High-priority activity overdue by more than 7 days",IF(H80="On Hold","Activity is on hold",IF(AND(O80&gt;7,H80&lt;&gt;"Completed"),"Open activity has a stale update (&gt;7 days)",IF(AND(N80&gt;=1,N80&lt;=7,H80&lt;&gt;"Completed"),"Open activity overdue by 1-7 days",""))))</x:f>
      </x:c>
    </x:row>
    <x:row r="81">
      <x:c r="A81" s="84" t="str">
        <x:v>ACT-0077</x:v>
      </x:c>
      <x:c r="B81" s="85" t="str">
        <x:v>QA/QC</x:v>
      </x:c>
      <x:c r="C81" s="85" t="str">
        <x:v>QA-B</x:v>
      </x:c>
      <x:c r="D81" s="85" t="str">
        <x:v>Test Package</x:v>
      </x:c>
      <x:c r="E81" s="86" t="n">
        <x:v>46185</x:v>
      </x:c>
      <x:c r="F81" s="86" t="n">
        <x:v>46195</x:v>
      </x:c>
      <x:c r="G81" s="86"/>
      <x:c r="H81" s="85" t="str">
        <x:v>On Hold</x:v>
      </x:c>
      <x:c r="I81" s="85" t="str">
        <x:v>Low</x:v>
      </x:c>
      <x:c r="J81" s="87" t="n">
        <x:v>50</x:v>
      </x:c>
      <x:c r="K81" s="85" t="str">
        <x:v>Access Constraint</x:v>
      </x:c>
      <x:c r="L81" s="86" t="n">
        <x:v>46261</x:v>
      </x:c>
      <x:c r="M81" s="85" t="str">
        <x:v>Team Lead F</x:v>
      </x:c>
      <x:c r="N81" s="88" t="n">
        <x:f>IF(AND(H81&lt;&gt;"Completed",F81&lt;'Summary'!$B$3),'Summary'!$B$3-F81,0)</x:f>
        <x:v>71</x:v>
      </x:c>
      <x:c r="O81" s="88" t="n">
        <x:f>'Summary'!$B$3-L81</x:f>
        <x:v>5</x:v>
      </x:c>
      <x:c r="P81" s="88" t="str">
        <x:f>IF(AND(H81="Completed",G81&lt;&gt;"",F81&lt;&gt;""),G81-F81,"")</x:f>
      </x:c>
      <x:c r="Q81" s="89" t="str">
        <x:f>IF(OR(H81="On Hold",AND(I81="High",N81&gt;7,H81&lt;&gt;"Completed")),"Critical",IF(OR(AND(N81&gt;=1,N81&lt;=7,H81&lt;&gt;"Completed"),AND(O81&gt;7,H81&lt;&gt;"Completed")),"Warning","Normal"))</x:f>
        <x:v>Critical</x:v>
      </x:c>
      <x:c r="R81" s="90" t="str">
        <x:f>IF(AND(I81="High",N81&gt;7,H81&lt;&gt;"Completed"),"High-priority activity overdue by more than 7 days",IF(H81="On Hold","Activity is on hold",IF(AND(O81&gt;7,H81&lt;&gt;"Completed"),"Open activity has a stale update (&gt;7 days)",IF(AND(N81&gt;=1,N81&lt;=7,H81&lt;&gt;"Completed"),"Open activity overdue by 1-7 days",""))))</x:f>
        <x:v>Activity is on hold</x:v>
      </x:c>
    </x:row>
    <x:row r="82">
      <x:c r="A82" s="84" t="str">
        <x:v>ACT-0078</x:v>
      </x:c>
      <x:c r="B82" s="85" t="str">
        <x:v>Project Controls</x:v>
      </x:c>
      <x:c r="C82" s="85" t="str">
        <x:v>PC-A</x:v>
      </x:c>
      <x:c r="D82" s="85" t="str">
        <x:v>Progress Update</x:v>
      </x:c>
      <x:c r="E82" s="86" t="n">
        <x:v>46234</x:v>
      </x:c>
      <x:c r="F82" s="86" t="n">
        <x:v>46253</x:v>
      </x:c>
      <x:c r="G82" s="86"/>
      <x:c r="H82" s="85" t="str">
        <x:v>In Progress</x:v>
      </x:c>
      <x:c r="I82" s="85" t="str">
        <x:v>Low</x:v>
      </x:c>
      <x:c r="J82" s="87" t="n">
        <x:v>40</x:v>
      </x:c>
      <x:c r="K82" s="85" t="str">
        <x:v>Material Delay</x:v>
      </x:c>
      <x:c r="L82" s="86" t="n">
        <x:v>46257</x:v>
      </x:c>
      <x:c r="M82" s="85" t="str">
        <x:v>Team Lead D</x:v>
      </x:c>
      <x:c r="N82" s="88" t="n">
        <x:f>IF(AND(H82&lt;&gt;"Completed",F82&lt;'Summary'!$B$3),'Summary'!$B$3-F82,0)</x:f>
        <x:v>13</x:v>
      </x:c>
      <x:c r="O82" s="88" t="n">
        <x:f>'Summary'!$B$3-L82</x:f>
        <x:v>9</x:v>
      </x:c>
      <x:c r="P82" s="88" t="str">
        <x:f>IF(AND(H82="Completed",G82&lt;&gt;"",F82&lt;&gt;""),G82-F82,"")</x:f>
      </x:c>
      <x:c r="Q82" s="89" t="str">
        <x:f>IF(OR(H82="On Hold",AND(I82="High",N82&gt;7,H82&lt;&gt;"Completed")),"Critical",IF(OR(AND(N82&gt;=1,N82&lt;=7,H82&lt;&gt;"Completed"),AND(O82&gt;7,H82&lt;&gt;"Completed")),"Warning","Normal"))</x:f>
        <x:v>Warning</x:v>
      </x:c>
      <x:c r="R82" s="90" t="str">
        <x:f>IF(AND(I82="High",N82&gt;7,H82&lt;&gt;"Completed"),"High-priority activity overdue by more than 7 days",IF(H82="On Hold","Activity is on hold",IF(AND(O82&gt;7,H82&lt;&gt;"Completed"),"Open activity has a stale update (&gt;7 days)",IF(AND(N82&gt;=1,N82&lt;=7,H82&lt;&gt;"Completed"),"Open activity overdue by 1-7 days",""))))</x:f>
        <x:v>Open activity has a stale update (&gt;7 days)</x:v>
      </x:c>
    </x:row>
    <x:row r="83">
      <x:c r="A83" s="84" t="str">
        <x:v>ACT-0079</x:v>
      </x:c>
      <x:c r="B83" s="85" t="str">
        <x:v>Procurement</x:v>
      </x:c>
      <x:c r="C83" s="85" t="str">
        <x:v>PROC-A</x:v>
      </x:c>
      <x:c r="D83" s="85" t="str">
        <x:v>Vendor Follow-up</x:v>
      </x:c>
      <x:c r="E83" s="86" t="n">
        <x:v>46226</x:v>
      </x:c>
      <x:c r="F83" s="86" t="n">
        <x:v>46239</x:v>
      </x:c>
      <x:c r="G83" s="86" t="n">
        <x:v>46239</x:v>
      </x:c>
      <x:c r="H83" s="85" t="str">
        <x:v>Completed</x:v>
      </x:c>
      <x:c r="I83" s="85" t="str">
        <x:v>High</x:v>
      </x:c>
      <x:c r="J83" s="87" t="n">
        <x:v>100</x:v>
      </x:c>
      <x:c r="K83" s="85" t="str">
        <x:v>None</x:v>
      </x:c>
      <x:c r="L83" s="86" t="n">
        <x:v>46237</x:v>
      </x:c>
      <x:c r="M83" s="85" t="str">
        <x:v>Team Lead D</x:v>
      </x:c>
      <x:c r="N83" s="88" t="n">
        <x:f>IF(AND(H83&lt;&gt;"Completed",F83&lt;'Summary'!$B$3),'Summary'!$B$3-F83,0)</x:f>
        <x:v>0</x:v>
      </x:c>
      <x:c r="O83" s="88" t="n">
        <x:f>'Summary'!$B$3-L83</x:f>
        <x:v>29</x:v>
      </x:c>
      <x:c r="P83" s="88" t="n">
        <x:f>IF(AND(H83="Completed",G83&lt;&gt;"",F83&lt;&gt;""),G83-F83,"")</x:f>
        <x:v>0</x:v>
      </x:c>
      <x:c r="Q83" s="89" t="str">
        <x:f>IF(OR(H83="On Hold",AND(I83="High",N83&gt;7,H83&lt;&gt;"Completed")),"Critical",IF(OR(AND(N83&gt;=1,N83&lt;=7,H83&lt;&gt;"Completed"),AND(O83&gt;7,H83&lt;&gt;"Completed")),"Warning","Normal"))</x:f>
        <x:v>Normal</x:v>
      </x:c>
      <x:c r="R83" s="90" t="str">
        <x:f>IF(AND(I83="High",N83&gt;7,H83&lt;&gt;"Completed"),"High-priority activity overdue by more than 7 days",IF(H83="On Hold","Activity is on hold",IF(AND(O83&gt;7,H83&lt;&gt;"Completed"),"Open activity has a stale update (&gt;7 days)",IF(AND(N83&gt;=1,N83&lt;=7,H83&lt;&gt;"Completed"),"Open activity overdue by 1-7 days",""))))</x:f>
      </x:c>
    </x:row>
    <x:row r="84">
      <x:c r="A84" s="84" t="str">
        <x:v>ACT-0080</x:v>
      </x:c>
      <x:c r="B84" s="85" t="str">
        <x:v>QA/QC</x:v>
      </x:c>
      <x:c r="C84" s="85" t="str">
        <x:v>QA-B</x:v>
      </x:c>
      <x:c r="D84" s="85" t="str">
        <x:v>Test Package</x:v>
      </x:c>
      <x:c r="E84" s="86" t="n">
        <x:v>46232</x:v>
      </x:c>
      <x:c r="F84" s="86" t="n">
        <x:v>46237</x:v>
      </x:c>
      <x:c r="G84" s="86" t="n">
        <x:v>46244</x:v>
      </x:c>
      <x:c r="H84" s="85" t="str">
        <x:v>Completed</x:v>
      </x:c>
      <x:c r="I84" s="85" t="str">
        <x:v>Medium</x:v>
      </x:c>
      <x:c r="J84" s="87" t="n">
        <x:v>100</x:v>
      </x:c>
      <x:c r="K84" s="85" t="str">
        <x:v>Rework</x:v>
      </x:c>
      <x:c r="L84" s="86" t="n">
        <x:v>46240</x:v>
      </x:c>
      <x:c r="M84" s="85" t="str">
        <x:v>Team Lead A</x:v>
      </x:c>
      <x:c r="N84" s="88" t="n">
        <x:f>IF(AND(H84&lt;&gt;"Completed",F84&lt;'Summary'!$B$3),'Summary'!$B$3-F84,0)</x:f>
        <x:v>0</x:v>
      </x:c>
      <x:c r="O84" s="88" t="n">
        <x:f>'Summary'!$B$3-L84</x:f>
        <x:v>26</x:v>
      </x:c>
      <x:c r="P84" s="88" t="n">
        <x:f>IF(AND(H84="Completed",G84&lt;&gt;"",F84&lt;&gt;""),G84-F84,"")</x:f>
        <x:v>7</x:v>
      </x:c>
      <x:c r="Q84" s="89" t="str">
        <x:f>IF(OR(H84="On Hold",AND(I84="High",N84&gt;7,H84&lt;&gt;"Completed")),"Critical",IF(OR(AND(N84&gt;=1,N84&lt;=7,H84&lt;&gt;"Completed"),AND(O84&gt;7,H84&lt;&gt;"Completed")),"Warning","Normal"))</x:f>
        <x:v>Normal</x:v>
      </x:c>
      <x:c r="R84" s="90" t="str">
        <x:f>IF(AND(I84="High",N84&gt;7,H84&lt;&gt;"Completed"),"High-priority activity overdue by more than 7 days",IF(H84="On Hold","Activity is on hold",IF(AND(O84&gt;7,H84&lt;&gt;"Completed"),"Open activity has a stale update (&gt;7 days)",IF(AND(N84&gt;=1,N84&lt;=7,H84&lt;&gt;"Completed"),"Open activity overdue by 1-7 days",""))))</x:f>
      </x:c>
    </x:row>
    <x:row r="85">
      <x:c r="A85" s="84" t="str">
        <x:v>ACT-0081</x:v>
      </x:c>
      <x:c r="B85" s="85" t="str">
        <x:v>Construction</x:v>
      </x:c>
      <x:c r="C85" s="85" t="str">
        <x:v>CONST-B</x:v>
      </x:c>
      <x:c r="D85" s="85" t="str">
        <x:v>Site Preparation</x:v>
      </x:c>
      <x:c r="E85" s="86" t="n">
        <x:v>46180</x:v>
      </x:c>
      <x:c r="F85" s="86" t="n">
        <x:v>46189</x:v>
      </x:c>
      <x:c r="G85" s="86" t="n">
        <x:v>46199</x:v>
      </x:c>
      <x:c r="H85" s="85" t="str">
        <x:v>Completed</x:v>
      </x:c>
      <x:c r="I85" s="85" t="str">
        <x:v>Medium</x:v>
      </x:c>
      <x:c r="J85" s="87" t="n">
        <x:v>100</x:v>
      </x:c>
      <x:c r="K85" s="85" t="str">
        <x:v>Manpower</x:v>
      </x:c>
      <x:c r="L85" s="86" t="n">
        <x:v>46196</x:v>
      </x:c>
      <x:c r="M85" s="85" t="str">
        <x:v>Team Lead B</x:v>
      </x:c>
      <x:c r="N85" s="88" t="n">
        <x:f>IF(AND(H85&lt;&gt;"Completed",F85&lt;'Summary'!$B$3),'Summary'!$B$3-F85,0)</x:f>
        <x:v>0</x:v>
      </x:c>
      <x:c r="O85" s="88" t="n">
        <x:f>'Summary'!$B$3-L85</x:f>
        <x:v>70</x:v>
      </x:c>
      <x:c r="P85" s="88" t="n">
        <x:f>IF(AND(H85="Completed",G85&lt;&gt;"",F85&lt;&gt;""),G85-F85,"")</x:f>
        <x:v>10</x:v>
      </x:c>
      <x:c r="Q85" s="89" t="str">
        <x:f>IF(OR(H85="On Hold",AND(I85="High",N85&gt;7,H85&lt;&gt;"Completed")),"Critical",IF(OR(AND(N85&gt;=1,N85&lt;=7,H85&lt;&gt;"Completed"),AND(O85&gt;7,H85&lt;&gt;"Completed")),"Warning","Normal"))</x:f>
        <x:v>Normal</x:v>
      </x:c>
      <x:c r="R85" s="90" t="str">
        <x:f>IF(AND(I85="High",N85&gt;7,H85&lt;&gt;"Completed"),"High-priority activity overdue by more than 7 days",IF(H85="On Hold","Activity is on hold",IF(AND(O85&gt;7,H85&lt;&gt;"Completed"),"Open activity has a stale update (&gt;7 days)",IF(AND(N85&gt;=1,N85&lt;=7,H85&lt;&gt;"Completed"),"Open activity overdue by 1-7 days",""))))</x:f>
      </x:c>
    </x:row>
    <x:row r="86">
      <x:c r="A86" s="84" t="str">
        <x:v>ACT-0082</x:v>
      </x:c>
      <x:c r="B86" s="85" t="str">
        <x:v>QA/QC</x:v>
      </x:c>
      <x:c r="C86" s="85" t="str">
        <x:v>QA-A</x:v>
      </x:c>
      <x:c r="D86" s="85" t="str">
        <x:v>Punch Clearance</x:v>
      </x:c>
      <x:c r="E86" s="86" t="n">
        <x:v>46230</x:v>
      </x:c>
      <x:c r="F86" s="86" t="n">
        <x:v>46255</x:v>
      </x:c>
      <x:c r="G86" s="86"/>
      <x:c r="H86" s="85" t="str">
        <x:v>In Progress</x:v>
      </x:c>
      <x:c r="I86" s="85" t="str">
        <x:v>High</x:v>
      </x:c>
      <x:c r="J86" s="87" t="n">
        <x:v>85</x:v>
      </x:c>
      <x:c r="K86" s="85" t="str">
        <x:v>Documentation</x:v>
      </x:c>
      <x:c r="L86" s="86" t="n">
        <x:v>46257</x:v>
      </x:c>
      <x:c r="M86" s="85" t="str">
        <x:v>Team Lead F</x:v>
      </x:c>
      <x:c r="N86" s="88" t="n">
        <x:f>IF(AND(H86&lt;&gt;"Completed",F86&lt;'Summary'!$B$3),'Summary'!$B$3-F86,0)</x:f>
        <x:v>11</x:v>
      </x:c>
      <x:c r="O86" s="88" t="n">
        <x:f>'Summary'!$B$3-L86</x:f>
        <x:v>9</x:v>
      </x:c>
      <x:c r="P86" s="88" t="str">
        <x:f>IF(AND(H86="Completed",G86&lt;&gt;"",F86&lt;&gt;""),G86-F86,"")</x:f>
      </x:c>
      <x:c r="Q86" s="89" t="str">
        <x:f>IF(OR(H86="On Hold",AND(I86="High",N86&gt;7,H86&lt;&gt;"Completed")),"Critical",IF(OR(AND(N86&gt;=1,N86&lt;=7,H86&lt;&gt;"Completed"),AND(O86&gt;7,H86&lt;&gt;"Completed")),"Warning","Normal"))</x:f>
        <x:v>Critical</x:v>
      </x:c>
      <x:c r="R86" s="90" t="str">
        <x:f>IF(AND(I86="High",N86&gt;7,H86&lt;&gt;"Completed"),"High-priority activity overdue by more than 7 days",IF(H86="On Hold","Activity is on hold",IF(AND(O86&gt;7,H86&lt;&gt;"Completed"),"Open activity has a stale update (&gt;7 days)",IF(AND(N86&gt;=1,N86&lt;=7,H86&lt;&gt;"Completed"),"Open activity overdue by 1-7 days",""))))</x:f>
        <x:v>High-priority activity overdue by more than 7 days</x:v>
      </x:c>
    </x:row>
    <x:row r="87">
      <x:c r="A87" s="84" t="str">
        <x:v>ACT-0083</x:v>
      </x:c>
      <x:c r="B87" s="85" t="str">
        <x:v>Engineering</x:v>
      </x:c>
      <x:c r="C87" s="85" t="str">
        <x:v>ENG-A</x:v>
      </x:c>
      <x:c r="D87" s="85" t="str">
        <x:v>Design Update</x:v>
      </x:c>
      <x:c r="E87" s="86" t="n">
        <x:v>46185</x:v>
      </x:c>
      <x:c r="F87" s="86" t="n">
        <x:v>46195</x:v>
      </x:c>
      <x:c r="G87" s="86"/>
      <x:c r="H87" s="85" t="str">
        <x:v>On Hold</x:v>
      </x:c>
      <x:c r="I87" s="85" t="str">
        <x:v>Low</x:v>
      </x:c>
      <x:c r="J87" s="87" t="n">
        <x:v>40</x:v>
      </x:c>
      <x:c r="K87" s="85" t="str">
        <x:v>Rework</x:v>
      </x:c>
      <x:c r="L87" s="86" t="n">
        <x:v>46258</x:v>
      </x:c>
      <x:c r="M87" s="85" t="str">
        <x:v>Team Lead B</x:v>
      </x:c>
      <x:c r="N87" s="88" t="n">
        <x:f>IF(AND(H87&lt;&gt;"Completed",F87&lt;'Summary'!$B$3),'Summary'!$B$3-F87,0)</x:f>
        <x:v>71</x:v>
      </x:c>
      <x:c r="O87" s="88" t="n">
        <x:f>'Summary'!$B$3-L87</x:f>
        <x:v>8</x:v>
      </x:c>
      <x:c r="P87" s="88" t="str">
        <x:f>IF(AND(H87="Completed",G87&lt;&gt;"",F87&lt;&gt;""),G87-F87,"")</x:f>
      </x:c>
      <x:c r="Q87" s="89" t="str">
        <x:f>IF(OR(H87="On Hold",AND(I87="High",N87&gt;7,H87&lt;&gt;"Completed")),"Critical",IF(OR(AND(N87&gt;=1,N87&lt;=7,H87&lt;&gt;"Completed"),AND(O87&gt;7,H87&lt;&gt;"Completed")),"Warning","Normal"))</x:f>
        <x:v>Critical</x:v>
      </x:c>
      <x:c r="R87" s="90" t="str">
        <x:f>IF(AND(I87="High",N87&gt;7,H87&lt;&gt;"Completed"),"High-priority activity overdue by more than 7 days",IF(H87="On Hold","Activity is on hold",IF(AND(O87&gt;7,H87&lt;&gt;"Completed"),"Open activity has a stale update (&gt;7 days)",IF(AND(N87&gt;=1,N87&lt;=7,H87&lt;&gt;"Completed"),"Open activity overdue by 1-7 days",""))))</x:f>
        <x:v>Activity is on hold</x:v>
      </x:c>
    </x:row>
    <x:row r="88">
      <x:c r="A88" s="84" t="str">
        <x:v>ACT-0084</x:v>
      </x:c>
      <x:c r="B88" s="85" t="str">
        <x:v>Construction</x:v>
      </x:c>
      <x:c r="C88" s="85" t="str">
        <x:v>CONST-B</x:v>
      </x:c>
      <x:c r="D88" s="85" t="str">
        <x:v>Progress Update</x:v>
      </x:c>
      <x:c r="E88" s="86" t="n">
        <x:v>46227</x:v>
      </x:c>
      <x:c r="F88" s="86" t="n">
        <x:v>46245</x:v>
      </x:c>
      <x:c r="G88" s="86"/>
      <x:c r="H88" s="85" t="str">
        <x:v>On Hold</x:v>
      </x:c>
      <x:c r="I88" s="85" t="str">
        <x:v>Medium</x:v>
      </x:c>
      <x:c r="J88" s="87" t="n">
        <x:v>50</x:v>
      </x:c>
      <x:c r="K88" s="85" t="str">
        <x:v>Material Delay</x:v>
      </x:c>
      <x:c r="L88" s="86" t="n">
        <x:v>46257</x:v>
      </x:c>
      <x:c r="M88" s="85" t="str">
        <x:v>Team Lead E</x:v>
      </x:c>
      <x:c r="N88" s="88" t="n">
        <x:f>IF(AND(H88&lt;&gt;"Completed",F88&lt;'Summary'!$B$3),'Summary'!$B$3-F88,0)</x:f>
        <x:v>21</x:v>
      </x:c>
      <x:c r="O88" s="88" t="n">
        <x:f>'Summary'!$B$3-L88</x:f>
        <x:v>9</x:v>
      </x:c>
      <x:c r="P88" s="88" t="str">
        <x:f>IF(AND(H88="Completed",G88&lt;&gt;"",F88&lt;&gt;""),G88-F88,"")</x:f>
      </x:c>
      <x:c r="Q88" s="89" t="str">
        <x:f>IF(OR(H88="On Hold",AND(I88="High",N88&gt;7,H88&lt;&gt;"Completed")),"Critical",IF(OR(AND(N88&gt;=1,N88&lt;=7,H88&lt;&gt;"Completed"),AND(O88&gt;7,H88&lt;&gt;"Completed")),"Warning","Normal"))</x:f>
        <x:v>Critical</x:v>
      </x:c>
      <x:c r="R88" s="90" t="str">
        <x:f>IF(AND(I88="High",N88&gt;7,H88&lt;&gt;"Completed"),"High-priority activity overdue by more than 7 days",IF(H88="On Hold","Activity is on hold",IF(AND(O88&gt;7,H88&lt;&gt;"Completed"),"Open activity has a stale update (&gt;7 days)",IF(AND(N88&gt;=1,N88&lt;=7,H88&lt;&gt;"Completed"),"Open activity overdue by 1-7 days",""))))</x:f>
        <x:v>Activity is on hold</x:v>
      </x:c>
    </x:row>
    <x:row r="89">
      <x:c r="A89" s="84" t="str">
        <x:v>ACT-0085</x:v>
      </x:c>
      <x:c r="B89" s="85" t="str">
        <x:v>Construction</x:v>
      </x:c>
      <x:c r="C89" s="85" t="str">
        <x:v>CONST-A</x:v>
      </x:c>
      <x:c r="D89" s="85" t="str">
        <x:v>Field Installation</x:v>
      </x:c>
      <x:c r="E89" s="86" t="n">
        <x:v>46209</x:v>
      </x:c>
      <x:c r="F89" s="86" t="n">
        <x:v>46236</x:v>
      </x:c>
      <x:c r="G89" s="86"/>
      <x:c r="H89" s="85" t="str">
        <x:v>In Progress</x:v>
      </x:c>
      <x:c r="I89" s="85" t="str">
        <x:v>Medium</x:v>
      </x:c>
      <x:c r="J89" s="87" t="n">
        <x:v>95</x:v>
      </x:c>
      <x:c r="K89" s="85" t="str">
        <x:v>None</x:v>
      </x:c>
      <x:c r="L89" s="86" t="n">
        <x:v>46258</x:v>
      </x:c>
      <x:c r="M89" s="85" t="str">
        <x:v>Team Lead A</x:v>
      </x:c>
      <x:c r="N89" s="88" t="n">
        <x:f>IF(AND(H89&lt;&gt;"Completed",F89&lt;'Summary'!$B$3),'Summary'!$B$3-F89,0)</x:f>
        <x:v>30</x:v>
      </x:c>
      <x:c r="O89" s="88" t="n">
        <x:f>'Summary'!$B$3-L89</x:f>
        <x:v>8</x:v>
      </x:c>
      <x:c r="P89" s="88" t="str">
        <x:f>IF(AND(H89="Completed",G89&lt;&gt;"",F89&lt;&gt;""),G89-F89,"")</x:f>
      </x:c>
      <x:c r="Q89" s="89" t="str">
        <x:f>IF(OR(H89="On Hold",AND(I89="High",N89&gt;7,H89&lt;&gt;"Completed")),"Critical",IF(OR(AND(N89&gt;=1,N89&lt;=7,H89&lt;&gt;"Completed"),AND(O89&gt;7,H89&lt;&gt;"Completed")),"Warning","Normal"))</x:f>
        <x:v>Warning</x:v>
      </x:c>
      <x:c r="R89" s="90" t="str">
        <x:f>IF(AND(I89="High",N89&gt;7,H89&lt;&gt;"Completed"),"High-priority activity overdue by more than 7 days",IF(H89="On Hold","Activity is on hold",IF(AND(O89&gt;7,H89&lt;&gt;"Completed"),"Open activity has a stale update (&gt;7 days)",IF(AND(N89&gt;=1,N89&lt;=7,H89&lt;&gt;"Completed"),"Open activity overdue by 1-7 days",""))))</x:f>
        <x:v>Open activity has a stale update (&gt;7 days)</x:v>
      </x:c>
    </x:row>
    <x:row r="90">
      <x:c r="A90" s="84" t="str">
        <x:v>ACT-0086</x:v>
      </x:c>
      <x:c r="B90" s="85" t="str">
        <x:v>QA/QC</x:v>
      </x:c>
      <x:c r="C90" s="85" t="str">
        <x:v>QA-B</x:v>
      </x:c>
      <x:c r="D90" s="85" t="str">
        <x:v>Quality Review</x:v>
      </x:c>
      <x:c r="E90" s="86" t="n">
        <x:v>46193</x:v>
      </x:c>
      <x:c r="F90" s="86" t="n">
        <x:v>46210</x:v>
      </x:c>
      <x:c r="G90" s="86" t="n">
        <x:v>46222</x:v>
      </x:c>
      <x:c r="H90" s="85" t="str">
        <x:v>Completed</x:v>
      </x:c>
      <x:c r="I90" s="85" t="str">
        <x:v>Medium</x:v>
      </x:c>
      <x:c r="J90" s="87" t="n">
        <x:v>100</x:v>
      </x:c>
      <x:c r="K90" s="85" t="str">
        <x:v>None</x:v>
      </x:c>
      <x:c r="L90" s="86" t="n">
        <x:v>46218</x:v>
      </x:c>
      <x:c r="M90" s="85" t="str">
        <x:v>Team Lead C</x:v>
      </x:c>
      <x:c r="N90" s="88" t="n">
        <x:f>IF(AND(H90&lt;&gt;"Completed",F90&lt;'Summary'!$B$3),'Summary'!$B$3-F90,0)</x:f>
        <x:v>0</x:v>
      </x:c>
      <x:c r="O90" s="88" t="n">
        <x:f>'Summary'!$B$3-L90</x:f>
        <x:v>48</x:v>
      </x:c>
      <x:c r="P90" s="88" t="n">
        <x:f>IF(AND(H90="Completed",G90&lt;&gt;"",F90&lt;&gt;""),G90-F90,"")</x:f>
        <x:v>12</x:v>
      </x:c>
      <x:c r="Q90" s="89" t="str">
        <x:f>IF(OR(H90="On Hold",AND(I90="High",N90&gt;7,H90&lt;&gt;"Completed")),"Critical",IF(OR(AND(N90&gt;=1,N90&lt;=7,H90&lt;&gt;"Completed"),AND(O90&gt;7,H90&lt;&gt;"Completed")),"Warning","Normal"))</x:f>
        <x:v>Normal</x:v>
      </x:c>
      <x:c r="R90" s="90" t="str">
        <x:f>IF(AND(I90="High",N90&gt;7,H90&lt;&gt;"Completed"),"High-priority activity overdue by more than 7 days",IF(H90="On Hold","Activity is on hold",IF(AND(O90&gt;7,H90&lt;&gt;"Completed"),"Open activity has a stale update (&gt;7 days)",IF(AND(N90&gt;=1,N90&lt;=7,H90&lt;&gt;"Completed"),"Open activity overdue by 1-7 days",""))))</x:f>
      </x:c>
    </x:row>
    <x:row r="91">
      <x:c r="A91" s="84" t="str">
        <x:v>ACT-0087</x:v>
      </x:c>
      <x:c r="B91" s="85" t="str">
        <x:v>Procurement</x:v>
      </x:c>
      <x:c r="C91" s="85" t="str">
        <x:v>PROC-A</x:v>
      </x:c>
      <x:c r="D91" s="85" t="str">
        <x:v>Material Status Update</x:v>
      </x:c>
      <x:c r="E91" s="86" t="n">
        <x:v>46223</x:v>
      </x:c>
      <x:c r="F91" s="86" t="n">
        <x:v>46233</x:v>
      </x:c>
      <x:c r="G91" s="86"/>
      <x:c r="H91" s="85" t="str">
        <x:v>In Progress</x:v>
      </x:c>
      <x:c r="I91" s="85" t="str">
        <x:v>Medium</x:v>
      </x:c>
      <x:c r="J91" s="87" t="n">
        <x:v>60</x:v>
      </x:c>
      <x:c r="K91" s="85" t="str">
        <x:v>Material Delay</x:v>
      </x:c>
      <x:c r="L91" s="86" t="n">
        <x:v>46255</x:v>
      </x:c>
      <x:c r="M91" s="85" t="str">
        <x:v>Team Lead D</x:v>
      </x:c>
      <x:c r="N91" s="88" t="n">
        <x:f>IF(AND(H91&lt;&gt;"Completed",F91&lt;'Summary'!$B$3),'Summary'!$B$3-F91,0)</x:f>
        <x:v>33</x:v>
      </x:c>
      <x:c r="O91" s="88" t="n">
        <x:f>'Summary'!$B$3-L91</x:f>
        <x:v>11</x:v>
      </x:c>
      <x:c r="P91" s="88" t="str">
        <x:f>IF(AND(H91="Completed",G91&lt;&gt;"",F91&lt;&gt;""),G91-F91,"")</x:f>
      </x:c>
      <x:c r="Q91" s="89" t="str">
        <x:f>IF(OR(H91="On Hold",AND(I91="High",N91&gt;7,H91&lt;&gt;"Completed")),"Critical",IF(OR(AND(N91&gt;=1,N91&lt;=7,H91&lt;&gt;"Completed"),AND(O91&gt;7,H91&lt;&gt;"Completed")),"Warning","Normal"))</x:f>
        <x:v>Warning</x:v>
      </x:c>
      <x:c r="R91" s="90" t="str">
        <x:f>IF(AND(I91="High",N91&gt;7,H91&lt;&gt;"Completed"),"High-priority activity overdue by more than 7 days",IF(H91="On Hold","Activity is on hold",IF(AND(O91&gt;7,H91&lt;&gt;"Completed"),"Open activity has a stale update (&gt;7 days)",IF(AND(N91&gt;=1,N91&lt;=7,H91&lt;&gt;"Completed"),"Open activity overdue by 1-7 days",""))))</x:f>
        <x:v>Open activity has a stale update (&gt;7 days)</x:v>
      </x:c>
    </x:row>
    <x:row r="92">
      <x:c r="A92" s="84" t="str">
        <x:v>ACT-0088</x:v>
      </x:c>
      <x:c r="B92" s="85" t="str">
        <x:v>QA/QC</x:v>
      </x:c>
      <x:c r="C92" s="85" t="str">
        <x:v>QA-A</x:v>
      </x:c>
      <x:c r="D92" s="85" t="str">
        <x:v>Quality Review</x:v>
      </x:c>
      <x:c r="E92" s="86" t="n">
        <x:v>46178</x:v>
      </x:c>
      <x:c r="F92" s="86" t="n">
        <x:v>46185</x:v>
      </x:c>
      <x:c r="G92" s="86" t="n">
        <x:v>46183</x:v>
      </x:c>
      <x:c r="H92" s="85" t="str">
        <x:v>Completed</x:v>
      </x:c>
      <x:c r="I92" s="85" t="str">
        <x:v>Medium</x:v>
      </x:c>
      <x:c r="J92" s="87" t="n">
        <x:v>100</x:v>
      </x:c>
      <x:c r="K92" s="85" t="str">
        <x:v>None</x:v>
      </x:c>
      <x:c r="L92" s="86" t="n">
        <x:v>46180</x:v>
      </x:c>
      <x:c r="M92" s="85" t="str">
        <x:v>Team Lead D</x:v>
      </x:c>
      <x:c r="N92" s="88" t="n">
        <x:f>IF(AND(H92&lt;&gt;"Completed",F92&lt;'Summary'!$B$3),'Summary'!$B$3-F92,0)</x:f>
        <x:v>0</x:v>
      </x:c>
      <x:c r="O92" s="88" t="n">
        <x:f>'Summary'!$B$3-L92</x:f>
        <x:v>86</x:v>
      </x:c>
      <x:c r="P92" s="88" t="n">
        <x:f>IF(AND(H92="Completed",G92&lt;&gt;"",F92&lt;&gt;""),G92-F92,"")</x:f>
        <x:v>-2</x:v>
      </x:c>
      <x:c r="Q92" s="89" t="str">
        <x:f>IF(OR(H92="On Hold",AND(I92="High",N92&gt;7,H92&lt;&gt;"Completed")),"Critical",IF(OR(AND(N92&gt;=1,N92&lt;=7,H92&lt;&gt;"Completed"),AND(O92&gt;7,H92&lt;&gt;"Completed")),"Warning","Normal"))</x:f>
        <x:v>Normal</x:v>
      </x:c>
      <x:c r="R92" s="90" t="str">
        <x:f>IF(AND(I92="High",N92&gt;7,H92&lt;&gt;"Completed"),"High-priority activity overdue by more than 7 days",IF(H92="On Hold","Activity is on hold",IF(AND(O92&gt;7,H92&lt;&gt;"Completed"),"Open activity has a stale update (&gt;7 days)",IF(AND(N92&gt;=1,N92&lt;=7,H92&lt;&gt;"Completed"),"Open activity overdue by 1-7 days",""))))</x:f>
      </x:c>
    </x:row>
    <x:row r="93">
      <x:c r="A93" s="84" t="str">
        <x:v>ACT-0089</x:v>
      </x:c>
      <x:c r="B93" s="85" t="str">
        <x:v>Engineering</x:v>
      </x:c>
      <x:c r="C93" s="85" t="str">
        <x:v>ENG-A</x:v>
      </x:c>
      <x:c r="D93" s="85" t="str">
        <x:v>Design Update</x:v>
      </x:c>
      <x:c r="E93" s="86" t="n">
        <x:v>46257</x:v>
      </x:c>
      <x:c r="F93" s="86" t="n">
        <x:v>46264</x:v>
      </x:c>
      <x:c r="G93" s="86" t="n">
        <x:v>46264</x:v>
      </x:c>
      <x:c r="H93" s="85" t="str">
        <x:v>Completed</x:v>
      </x:c>
      <x:c r="I93" s="85" t="str">
        <x:v>Low</x:v>
      </x:c>
      <x:c r="J93" s="87" t="n">
        <x:v>100</x:v>
      </x:c>
      <x:c r="K93" s="85" t="str">
        <x:v>Material Delay</x:v>
      </x:c>
      <x:c r="L93" s="86" t="n">
        <x:v>46260</x:v>
      </x:c>
      <x:c r="M93" s="85" t="str">
        <x:v>Team Lead F</x:v>
      </x:c>
      <x:c r="N93" s="88" t="n">
        <x:f>IF(AND(H93&lt;&gt;"Completed",F93&lt;'Summary'!$B$3),'Summary'!$B$3-F93,0)</x:f>
        <x:v>0</x:v>
      </x:c>
      <x:c r="O93" s="88" t="n">
        <x:f>'Summary'!$B$3-L93</x:f>
        <x:v>6</x:v>
      </x:c>
      <x:c r="P93" s="88" t="n">
        <x:f>IF(AND(H93="Completed",G93&lt;&gt;"",F93&lt;&gt;""),G93-F93,"")</x:f>
        <x:v>0</x:v>
      </x:c>
      <x:c r="Q93" s="89" t="str">
        <x:f>IF(OR(H93="On Hold",AND(I93="High",N93&gt;7,H93&lt;&gt;"Completed")),"Critical",IF(OR(AND(N93&gt;=1,N93&lt;=7,H93&lt;&gt;"Completed"),AND(O93&gt;7,H93&lt;&gt;"Completed")),"Warning","Normal"))</x:f>
        <x:v>Normal</x:v>
      </x:c>
      <x:c r="R93" s="90" t="str">
        <x:f>IF(AND(I93="High",N93&gt;7,H93&lt;&gt;"Completed"),"High-priority activity overdue by more than 7 days",IF(H93="On Hold","Activity is on hold",IF(AND(O93&gt;7,H93&lt;&gt;"Completed"),"Open activity has a stale update (&gt;7 days)",IF(AND(N93&gt;=1,N93&lt;=7,H93&lt;&gt;"Completed"),"Open activity overdue by 1-7 days",""))))</x:f>
      </x:c>
    </x:row>
    <x:row r="94">
      <x:c r="A94" s="84" t="str">
        <x:v>ACT-0090</x:v>
      </x:c>
      <x:c r="B94" s="85" t="str">
        <x:v>Engineering</x:v>
      </x:c>
      <x:c r="C94" s="85" t="str">
        <x:v>ENG-B</x:v>
      </x:c>
      <x:c r="D94" s="85" t="str">
        <x:v>Design Update</x:v>
      </x:c>
      <x:c r="E94" s="86" t="n">
        <x:v>46214</x:v>
      </x:c>
      <x:c r="F94" s="86" t="n">
        <x:v>46237</x:v>
      </x:c>
      <x:c r="G94" s="86" t="n">
        <x:v>46249</x:v>
      </x:c>
      <x:c r="H94" s="85" t="str">
        <x:v>Completed</x:v>
      </x:c>
      <x:c r="I94" s="85" t="str">
        <x:v>Low</x:v>
      </x:c>
      <x:c r="J94" s="87" t="n">
        <x:v>100</x:v>
      </x:c>
      <x:c r="K94" s="85" t="str">
        <x:v>Approval Delay</x:v>
      </x:c>
      <x:c r="L94" s="86" t="n">
        <x:v>46249</x:v>
      </x:c>
      <x:c r="M94" s="85" t="str">
        <x:v>Team Lead B</x:v>
      </x:c>
      <x:c r="N94" s="88" t="n">
        <x:f>IF(AND(H94&lt;&gt;"Completed",F94&lt;'Summary'!$B$3),'Summary'!$B$3-F94,0)</x:f>
        <x:v>0</x:v>
      </x:c>
      <x:c r="O94" s="88" t="n">
        <x:f>'Summary'!$B$3-L94</x:f>
        <x:v>17</x:v>
      </x:c>
      <x:c r="P94" s="88" t="n">
        <x:f>IF(AND(H94="Completed",G94&lt;&gt;"",F94&lt;&gt;""),G94-F94,"")</x:f>
        <x:v>12</x:v>
      </x:c>
      <x:c r="Q94" s="89" t="str">
        <x:f>IF(OR(H94="On Hold",AND(I94="High",N94&gt;7,H94&lt;&gt;"Completed")),"Critical",IF(OR(AND(N94&gt;=1,N94&lt;=7,H94&lt;&gt;"Completed"),AND(O94&gt;7,H94&lt;&gt;"Completed")),"Warning","Normal"))</x:f>
        <x:v>Normal</x:v>
      </x:c>
      <x:c r="R94" s="90" t="str">
        <x:f>IF(AND(I94="High",N94&gt;7,H94&lt;&gt;"Completed"),"High-priority activity overdue by more than 7 days",IF(H94="On Hold","Activity is on hold",IF(AND(O94&gt;7,H94&lt;&gt;"Completed"),"Open activity has a stale update (&gt;7 days)",IF(AND(N94&gt;=1,N94&lt;=7,H94&lt;&gt;"Completed"),"Open activity overdue by 1-7 days",""))))</x:f>
      </x:c>
    </x:row>
    <x:row r="95">
      <x:c r="A95" s="84" t="str">
        <x:v>ACT-0091</x:v>
      </x:c>
      <x:c r="B95" s="85" t="str">
        <x:v>Construction</x:v>
      </x:c>
      <x:c r="C95" s="85" t="str">
        <x:v>CONST-B</x:v>
      </x:c>
      <x:c r="D95" s="85" t="str">
        <x:v>Punch Clearance</x:v>
      </x:c>
      <x:c r="E95" s="86" t="n">
        <x:v>46185</x:v>
      </x:c>
      <x:c r="F95" s="86" t="n">
        <x:v>46201</x:v>
      </x:c>
      <x:c r="G95" s="86"/>
      <x:c r="H95" s="85" t="str">
        <x:v>On Hold</x:v>
      </x:c>
      <x:c r="I95" s="85" t="str">
        <x:v>Low</x:v>
      </x:c>
      <x:c r="J95" s="87" t="n">
        <x:v>60</x:v>
      </x:c>
      <x:c r="K95" s="85" t="str">
        <x:v>Manpower</x:v>
      </x:c>
      <x:c r="L95" s="86" t="n">
        <x:v>46258</x:v>
      </x:c>
      <x:c r="M95" s="85" t="str">
        <x:v>Team Lead F</x:v>
      </x:c>
      <x:c r="N95" s="88" t="n">
        <x:f>IF(AND(H95&lt;&gt;"Completed",F95&lt;'Summary'!$B$3),'Summary'!$B$3-F95,0)</x:f>
        <x:v>65</x:v>
      </x:c>
      <x:c r="O95" s="88" t="n">
        <x:f>'Summary'!$B$3-L95</x:f>
        <x:v>8</x:v>
      </x:c>
      <x:c r="P95" s="88" t="str">
        <x:f>IF(AND(H95="Completed",G95&lt;&gt;"",F95&lt;&gt;""),G95-F95,"")</x:f>
      </x:c>
      <x:c r="Q95" s="89" t="str">
        <x:f>IF(OR(H95="On Hold",AND(I95="High",N95&gt;7,H95&lt;&gt;"Completed")),"Critical",IF(OR(AND(N95&gt;=1,N95&lt;=7,H95&lt;&gt;"Completed"),AND(O95&gt;7,H95&lt;&gt;"Completed")),"Warning","Normal"))</x:f>
        <x:v>Critical</x:v>
      </x:c>
      <x:c r="R95" s="90" t="str">
        <x:f>IF(AND(I95="High",N95&gt;7,H95&lt;&gt;"Completed"),"High-priority activity overdue by more than 7 days",IF(H95="On Hold","Activity is on hold",IF(AND(O95&gt;7,H95&lt;&gt;"Completed"),"Open activity has a stale update (&gt;7 days)",IF(AND(N95&gt;=1,N95&lt;=7,H95&lt;&gt;"Completed"),"Open activity overdue by 1-7 days",""))))</x:f>
        <x:v>Activity is on hold</x:v>
      </x:c>
    </x:row>
    <x:row r="96">
      <x:c r="A96" s="84" t="str">
        <x:v>ACT-0092</x:v>
      </x:c>
      <x:c r="B96" s="85" t="str">
        <x:v>QA/QC</x:v>
      </x:c>
      <x:c r="C96" s="85" t="str">
        <x:v>QA-A</x:v>
      </x:c>
      <x:c r="D96" s="85" t="str">
        <x:v>Test Package</x:v>
      </x:c>
      <x:c r="E96" s="86" t="n">
        <x:v>46215</x:v>
      </x:c>
      <x:c r="F96" s="86" t="n">
        <x:v>46243</x:v>
      </x:c>
      <x:c r="G96" s="86" t="n">
        <x:v>46251</x:v>
      </x:c>
      <x:c r="H96" s="85" t="str">
        <x:v>Completed</x:v>
      </x:c>
      <x:c r="I96" s="85" t="str">
        <x:v>Medium</x:v>
      </x:c>
      <x:c r="J96" s="87" t="n">
        <x:v>100</x:v>
      </x:c>
      <x:c r="K96" s="85" t="str">
        <x:v>None</x:v>
      </x:c>
      <x:c r="L96" s="86" t="n">
        <x:v>46250</x:v>
      </x:c>
      <x:c r="M96" s="85" t="str">
        <x:v>Team Lead D</x:v>
      </x:c>
      <x:c r="N96" s="88" t="n">
        <x:f>IF(AND(H96&lt;&gt;"Completed",F96&lt;'Summary'!$B$3),'Summary'!$B$3-F96,0)</x:f>
        <x:v>0</x:v>
      </x:c>
      <x:c r="O96" s="88" t="n">
        <x:f>'Summary'!$B$3-L96</x:f>
        <x:v>16</x:v>
      </x:c>
      <x:c r="P96" s="88" t="n">
        <x:f>IF(AND(H96="Completed",G96&lt;&gt;"",F96&lt;&gt;""),G96-F96,"")</x:f>
        <x:v>8</x:v>
      </x:c>
      <x:c r="Q96" s="89" t="str">
        <x:f>IF(OR(H96="On Hold",AND(I96="High",N96&gt;7,H96&lt;&gt;"Completed")),"Critical",IF(OR(AND(N96&gt;=1,N96&lt;=7,H96&lt;&gt;"Completed"),AND(O96&gt;7,H96&lt;&gt;"Completed")),"Warning","Normal"))</x:f>
        <x:v>Normal</x:v>
      </x:c>
      <x:c r="R96" s="90" t="str">
        <x:f>IF(AND(I96="High",N96&gt;7,H96&lt;&gt;"Completed"),"High-priority activity overdue by more than 7 days",IF(H96="On Hold","Activity is on hold",IF(AND(O96&gt;7,H96&lt;&gt;"Completed"),"Open activity has a stale update (&gt;7 days)",IF(AND(N96&gt;=1,N96&lt;=7,H96&lt;&gt;"Completed"),"Open activity overdue by 1-7 days",""))))</x:f>
      </x:c>
    </x:row>
    <x:row r="97">
      <x:c r="A97" s="84" t="str">
        <x:v>ACT-0093</x:v>
      </x:c>
      <x:c r="B97" s="85" t="str">
        <x:v>Construction</x:v>
      </x:c>
      <x:c r="C97" s="85" t="str">
        <x:v>CONST-A</x:v>
      </x:c>
      <x:c r="D97" s="85" t="str">
        <x:v>Punch Clearance</x:v>
      </x:c>
      <x:c r="E97" s="86" t="n">
        <x:v>46196</x:v>
      </x:c>
      <x:c r="F97" s="86" t="n">
        <x:v>46201</x:v>
      </x:c>
      <x:c r="G97" s="86" t="n">
        <x:v>46203</x:v>
      </x:c>
      <x:c r="H97" s="85" t="str">
        <x:v>Completed</x:v>
      </x:c>
      <x:c r="I97" s="85" t="str">
        <x:v>Medium</x:v>
      </x:c>
      <x:c r="J97" s="87" t="n">
        <x:v>100</x:v>
      </x:c>
      <x:c r="K97" s="85" t="str">
        <x:v>Documentation</x:v>
      </x:c>
      <x:c r="L97" s="86" t="n">
        <x:v>46200</x:v>
      </x:c>
      <x:c r="M97" s="85" t="str">
        <x:v>Team Lead B</x:v>
      </x:c>
      <x:c r="N97" s="88" t="n">
        <x:f>IF(AND(H97&lt;&gt;"Completed",F97&lt;'Summary'!$B$3),'Summary'!$B$3-F97,0)</x:f>
        <x:v>0</x:v>
      </x:c>
      <x:c r="O97" s="88" t="n">
        <x:f>'Summary'!$B$3-L97</x:f>
        <x:v>66</x:v>
      </x:c>
      <x:c r="P97" s="88" t="n">
        <x:f>IF(AND(H97="Completed",G97&lt;&gt;"",F97&lt;&gt;""),G97-F97,"")</x:f>
        <x:v>2</x:v>
      </x:c>
      <x:c r="Q97" s="89" t="str">
        <x:f>IF(OR(H97="On Hold",AND(I97="High",N97&gt;7,H97&lt;&gt;"Completed")),"Critical",IF(OR(AND(N97&gt;=1,N97&lt;=7,H97&lt;&gt;"Completed"),AND(O97&gt;7,H97&lt;&gt;"Completed")),"Warning","Normal"))</x:f>
        <x:v>Normal</x:v>
      </x:c>
      <x:c r="R97" s="90" t="str">
        <x:f>IF(AND(I97="High",N97&gt;7,H97&lt;&gt;"Completed"),"High-priority activity overdue by more than 7 days",IF(H97="On Hold","Activity is on hold",IF(AND(O97&gt;7,H97&lt;&gt;"Completed"),"Open activity has a stale update (&gt;7 days)",IF(AND(N97&gt;=1,N97&lt;=7,H97&lt;&gt;"Completed"),"Open activity overdue by 1-7 days",""))))</x:f>
      </x:c>
    </x:row>
    <x:row r="98">
      <x:c r="A98" s="84" t="str">
        <x:v>ACT-0094</x:v>
      </x:c>
      <x:c r="B98" s="85" t="str">
        <x:v>Engineering</x:v>
      </x:c>
      <x:c r="C98" s="85" t="str">
        <x:v>ENG-B</x:v>
      </x:c>
      <x:c r="D98" s="85" t="str">
        <x:v>Design Update</x:v>
      </x:c>
      <x:c r="E98" s="86" t="n">
        <x:v>46206</x:v>
      </x:c>
      <x:c r="F98" s="86" t="n">
        <x:v>46230</x:v>
      </x:c>
      <x:c r="G98" s="86" t="n">
        <x:v>46234</x:v>
      </x:c>
      <x:c r="H98" s="85" t="str">
        <x:v>Completed</x:v>
      </x:c>
      <x:c r="I98" s="85" t="str">
        <x:v>Low</x:v>
      </x:c>
      <x:c r="J98" s="87" t="n">
        <x:v>100</x:v>
      </x:c>
      <x:c r="K98" s="85" t="str">
        <x:v>None</x:v>
      </x:c>
      <x:c r="L98" s="86" t="n">
        <x:v>46230</x:v>
      </x:c>
      <x:c r="M98" s="85" t="str">
        <x:v>Team Lead D</x:v>
      </x:c>
      <x:c r="N98" s="88" t="n">
        <x:f>IF(AND(H98&lt;&gt;"Completed",F98&lt;'Summary'!$B$3),'Summary'!$B$3-F98,0)</x:f>
        <x:v>0</x:v>
      </x:c>
      <x:c r="O98" s="88" t="n">
        <x:f>'Summary'!$B$3-L98</x:f>
        <x:v>36</x:v>
      </x:c>
      <x:c r="P98" s="88" t="n">
        <x:f>IF(AND(H98="Completed",G98&lt;&gt;"",F98&lt;&gt;""),G98-F98,"")</x:f>
        <x:v>4</x:v>
      </x:c>
      <x:c r="Q98" s="89" t="str">
        <x:f>IF(OR(H98="On Hold",AND(I98="High",N98&gt;7,H98&lt;&gt;"Completed")),"Critical",IF(OR(AND(N98&gt;=1,N98&lt;=7,H98&lt;&gt;"Completed"),AND(O98&gt;7,H98&lt;&gt;"Completed")),"Warning","Normal"))</x:f>
        <x:v>Normal</x:v>
      </x:c>
      <x:c r="R98" s="90" t="str">
        <x:f>IF(AND(I98="High",N98&gt;7,H98&lt;&gt;"Completed"),"High-priority activity overdue by more than 7 days",IF(H98="On Hold","Activity is on hold",IF(AND(O98&gt;7,H98&lt;&gt;"Completed"),"Open activity has a stale update (&gt;7 days)",IF(AND(N98&gt;=1,N98&lt;=7,H98&lt;&gt;"Completed"),"Open activity overdue by 1-7 days",""))))</x:f>
      </x:c>
    </x:row>
    <x:row r="99">
      <x:c r="A99" s="84" t="str">
        <x:v>ACT-0095</x:v>
      </x:c>
      <x:c r="B99" s="85" t="str">
        <x:v>Procurement</x:v>
      </x:c>
      <x:c r="C99" s="85" t="str">
        <x:v>PROC-A</x:v>
      </x:c>
      <x:c r="D99" s="85" t="str">
        <x:v>Material Status Update</x:v>
      </x:c>
      <x:c r="E99" s="86" t="n">
        <x:v>46228</x:v>
      </x:c>
      <x:c r="F99" s="86" t="n">
        <x:v>46253</x:v>
      </x:c>
      <x:c r="G99" s="86" t="n">
        <x:v>46254</x:v>
      </x:c>
      <x:c r="H99" s="85" t="str">
        <x:v>Completed</x:v>
      </x:c>
      <x:c r="I99" s="85" t="str">
        <x:v>Low</x:v>
      </x:c>
      <x:c r="J99" s="87" t="n">
        <x:v>100</x:v>
      </x:c>
      <x:c r="K99" s="85" t="str">
        <x:v>Rework</x:v>
      </x:c>
      <x:c r="L99" s="86" t="n">
        <x:v>46251</x:v>
      </x:c>
      <x:c r="M99" s="85" t="str">
        <x:v>Team Lead A</x:v>
      </x:c>
      <x:c r="N99" s="88" t="n">
        <x:f>IF(AND(H99&lt;&gt;"Completed",F99&lt;'Summary'!$B$3),'Summary'!$B$3-F99,0)</x:f>
        <x:v>0</x:v>
      </x:c>
      <x:c r="O99" s="88" t="n">
        <x:f>'Summary'!$B$3-L99</x:f>
        <x:v>15</x:v>
      </x:c>
      <x:c r="P99" s="88" t="n">
        <x:f>IF(AND(H99="Completed",G99&lt;&gt;"",F99&lt;&gt;""),G99-F99,"")</x:f>
        <x:v>1</x:v>
      </x:c>
      <x:c r="Q99" s="89" t="str">
        <x:f>IF(OR(H99="On Hold",AND(I99="High",N99&gt;7,H99&lt;&gt;"Completed")),"Critical",IF(OR(AND(N99&gt;=1,N99&lt;=7,H99&lt;&gt;"Completed"),AND(O99&gt;7,H99&lt;&gt;"Completed")),"Warning","Normal"))</x:f>
        <x:v>Normal</x:v>
      </x:c>
      <x:c r="R99" s="90" t="str">
        <x:f>IF(AND(I99="High",N99&gt;7,H99&lt;&gt;"Completed"),"High-priority activity overdue by more than 7 days",IF(H99="On Hold","Activity is on hold",IF(AND(O99&gt;7,H99&lt;&gt;"Completed"),"Open activity has a stale update (&gt;7 days)",IF(AND(N99&gt;=1,N99&lt;=7,H99&lt;&gt;"Completed"),"Open activity overdue by 1-7 days",""))))</x:f>
      </x:c>
    </x:row>
    <x:row r="100">
      <x:c r="A100" s="84" t="str">
        <x:v>ACT-0096</x:v>
      </x:c>
      <x:c r="B100" s="85" t="str">
        <x:v>Engineering</x:v>
      </x:c>
      <x:c r="C100" s="85" t="str">
        <x:v>ENG-B</x:v>
      </x:c>
      <x:c r="D100" s="85" t="str">
        <x:v>Technical Query</x:v>
      </x:c>
      <x:c r="E100" s="86" t="n">
        <x:v>46263</x:v>
      </x:c>
      <x:c r="F100" s="86" t="n">
        <x:v>46275</x:v>
      </x:c>
      <x:c r="G100" s="86" t="n">
        <x:v>46264</x:v>
      </x:c>
      <x:c r="H100" s="85" t="str">
        <x:v>Completed</x:v>
      </x:c>
      <x:c r="I100" s="85" t="str">
        <x:v>Low</x:v>
      </x:c>
      <x:c r="J100" s="87" t="n">
        <x:v>100</x:v>
      </x:c>
      <x:c r="K100" s="85" t="str">
        <x:v>Approval Delay</x:v>
      </x:c>
      <x:c r="L100" s="86" t="n">
        <x:v>46264</x:v>
      </x:c>
      <x:c r="M100" s="85" t="str">
        <x:v>Team Lead F</x:v>
      </x:c>
      <x:c r="N100" s="88" t="n">
        <x:f>IF(AND(H100&lt;&gt;"Completed",F100&lt;'Summary'!$B$3),'Summary'!$B$3-F100,0)</x:f>
        <x:v>0</x:v>
      </x:c>
      <x:c r="O100" s="88" t="n">
        <x:f>'Summary'!$B$3-L100</x:f>
        <x:v>2</x:v>
      </x:c>
      <x:c r="P100" s="88" t="n">
        <x:f>IF(AND(H100="Completed",G100&lt;&gt;"",F100&lt;&gt;""),G100-F100,"")</x:f>
        <x:v>-11</x:v>
      </x:c>
      <x:c r="Q100" s="89" t="str">
        <x:f>IF(OR(H100="On Hold",AND(I100="High",N100&gt;7,H100&lt;&gt;"Completed")),"Critical",IF(OR(AND(N100&gt;=1,N100&lt;=7,H100&lt;&gt;"Completed"),AND(O100&gt;7,H100&lt;&gt;"Completed")),"Warning","Normal"))</x:f>
        <x:v>Normal</x:v>
      </x:c>
      <x:c r="R100" s="90" t="str">
        <x:f>IF(AND(I100="High",N100&gt;7,H100&lt;&gt;"Completed"),"High-priority activity overdue by more than 7 days",IF(H100="On Hold","Activity is on hold",IF(AND(O100&gt;7,H100&lt;&gt;"Completed"),"Open activity has a stale update (&gt;7 days)",IF(AND(N100&gt;=1,N100&lt;=7,H100&lt;&gt;"Completed"),"Open activity overdue by 1-7 days",""))))</x:f>
      </x:c>
    </x:row>
    <x:row r="101">
      <x:c r="A101" s="84" t="str">
        <x:v>ACT-0097</x:v>
      </x:c>
      <x:c r="B101" s="85" t="str">
        <x:v>Project Controls</x:v>
      </x:c>
      <x:c r="C101" s="85" t="str">
        <x:v>PC-A</x:v>
      </x:c>
      <x:c r="D101" s="85" t="str">
        <x:v>KPI Update</x:v>
      </x:c>
      <x:c r="E101" s="86" t="n">
        <x:v>46237</x:v>
      </x:c>
      <x:c r="F101" s="86" t="n">
        <x:v>46249</x:v>
      </x:c>
      <x:c r="G101" s="86"/>
      <x:c r="H101" s="85" t="str">
        <x:v>In Progress</x:v>
      </x:c>
      <x:c r="I101" s="85" t="str">
        <x:v>Medium</x:v>
      </x:c>
      <x:c r="J101" s="87" t="n">
        <x:v>95</x:v>
      </x:c>
      <x:c r="K101" s="85" t="str">
        <x:v>None</x:v>
      </x:c>
      <x:c r="L101" s="86" t="n">
        <x:v>46261</x:v>
      </x:c>
      <x:c r="M101" s="85" t="str">
        <x:v>Team Lead B</x:v>
      </x:c>
      <x:c r="N101" s="88" t="n">
        <x:f>IF(AND(H101&lt;&gt;"Completed",F101&lt;'Summary'!$B$3),'Summary'!$B$3-F101,0)</x:f>
        <x:v>17</x:v>
      </x:c>
      <x:c r="O101" s="88" t="n">
        <x:f>'Summary'!$B$3-L101</x:f>
        <x:v>5</x:v>
      </x:c>
      <x:c r="P101" s="88" t="str">
        <x:f>IF(AND(H101="Completed",G101&lt;&gt;"",F101&lt;&gt;""),G101-F101,"")</x:f>
      </x:c>
      <x:c r="Q101" s="89" t="str">
        <x:f>IF(OR(H101="On Hold",AND(I101="High",N101&gt;7,H101&lt;&gt;"Completed")),"Critical",IF(OR(AND(N101&gt;=1,N101&lt;=7,H101&lt;&gt;"Completed"),AND(O101&gt;7,H101&lt;&gt;"Completed")),"Warning","Normal"))</x:f>
        <x:v>Normal</x:v>
      </x:c>
      <x:c r="R101" s="90" t="str">
        <x:f>IF(AND(I101="High",N101&gt;7,H101&lt;&gt;"Completed"),"High-priority activity overdue by more than 7 days",IF(H101="On Hold","Activity is on hold",IF(AND(O101&gt;7,H101&lt;&gt;"Completed"),"Open activity has a stale update (&gt;7 days)",IF(AND(N101&gt;=1,N101&lt;=7,H101&lt;&gt;"Completed"),"Open activity overdue by 1-7 days",""))))</x:f>
      </x:c>
    </x:row>
    <x:row r="102">
      <x:c r="A102" s="84" t="str">
        <x:v>ACT-0098</x:v>
      </x:c>
      <x:c r="B102" s="85" t="str">
        <x:v>Construction</x:v>
      </x:c>
      <x:c r="C102" s="85" t="str">
        <x:v>CONST-A</x:v>
      </x:c>
      <x:c r="D102" s="85" t="str">
        <x:v>Field Installation</x:v>
      </x:c>
      <x:c r="E102" s="86" t="n">
        <x:v>46254</x:v>
      </x:c>
      <x:c r="F102" s="86" t="n">
        <x:v>46277</x:v>
      </x:c>
      <x:c r="G102" s="86" t="n">
        <x:v>46264</x:v>
      </x:c>
      <x:c r="H102" s="85" t="str">
        <x:v>Completed</x:v>
      </x:c>
      <x:c r="I102" s="85" t="str">
        <x:v>Low</x:v>
      </x:c>
      <x:c r="J102" s="87" t="n">
        <x:v>100</x:v>
      </x:c>
      <x:c r="K102" s="85" t="str">
        <x:v>None</x:v>
      </x:c>
      <x:c r="L102" s="86" t="n">
        <x:v>46263</x:v>
      </x:c>
      <x:c r="M102" s="85" t="str">
        <x:v>Team Lead C</x:v>
      </x:c>
      <x:c r="N102" s="88" t="n">
        <x:f>IF(AND(H102&lt;&gt;"Completed",F102&lt;'Summary'!$B$3),'Summary'!$B$3-F102,0)</x:f>
        <x:v>0</x:v>
      </x:c>
      <x:c r="O102" s="88" t="n">
        <x:f>'Summary'!$B$3-L102</x:f>
        <x:v>3</x:v>
      </x:c>
      <x:c r="P102" s="88" t="n">
        <x:f>IF(AND(H102="Completed",G102&lt;&gt;"",F102&lt;&gt;""),G102-F102,"")</x:f>
        <x:v>-13</x:v>
      </x:c>
      <x:c r="Q102" s="89" t="str">
        <x:f>IF(OR(H102="On Hold",AND(I102="High",N102&gt;7,H102&lt;&gt;"Completed")),"Critical",IF(OR(AND(N102&gt;=1,N102&lt;=7,H102&lt;&gt;"Completed"),AND(O102&gt;7,H102&lt;&gt;"Completed")),"Warning","Normal"))</x:f>
        <x:v>Normal</x:v>
      </x:c>
      <x:c r="R102" s="90" t="str">
        <x:f>IF(AND(I102="High",N102&gt;7,H102&lt;&gt;"Completed"),"High-priority activity overdue by more than 7 days",IF(H102="On Hold","Activity is on hold",IF(AND(O102&gt;7,H102&lt;&gt;"Completed"),"Open activity has a stale update (&gt;7 days)",IF(AND(N102&gt;=1,N102&lt;=7,H102&lt;&gt;"Completed"),"Open activity overdue by 1-7 days",""))))</x:f>
      </x:c>
    </x:row>
    <x:row r="103">
      <x:c r="A103" s="84" t="str">
        <x:v>ACT-0099</x:v>
      </x:c>
      <x:c r="B103" s="85" t="str">
        <x:v>QA/QC</x:v>
      </x:c>
      <x:c r="C103" s="85" t="str">
        <x:v>QA-B</x:v>
      </x:c>
      <x:c r="D103" s="85" t="str">
        <x:v>Inspection Request</x:v>
      </x:c>
      <x:c r="E103" s="86" t="n">
        <x:v>46199</x:v>
      </x:c>
      <x:c r="F103" s="86" t="n">
        <x:v>46206</x:v>
      </x:c>
      <x:c r="G103" s="86"/>
      <x:c r="H103" s="85" t="str">
        <x:v>In Progress</x:v>
      </x:c>
      <x:c r="I103" s="85" t="str">
        <x:v>Low</x:v>
      </x:c>
      <x:c r="J103" s="87" t="n">
        <x:v>60</x:v>
      </x:c>
      <x:c r="K103" s="85" t="str">
        <x:v>Material Delay</x:v>
      </x:c>
      <x:c r="L103" s="86" t="n">
        <x:v>46258</x:v>
      </x:c>
      <x:c r="M103" s="85" t="str">
        <x:v>Team Lead C</x:v>
      </x:c>
      <x:c r="N103" s="88" t="n">
        <x:f>IF(AND(H103&lt;&gt;"Completed",F103&lt;'Summary'!$B$3),'Summary'!$B$3-F103,0)</x:f>
        <x:v>60</x:v>
      </x:c>
      <x:c r="O103" s="88" t="n">
        <x:f>'Summary'!$B$3-L103</x:f>
        <x:v>8</x:v>
      </x:c>
      <x:c r="P103" s="88" t="str">
        <x:f>IF(AND(H103="Completed",G103&lt;&gt;"",F103&lt;&gt;""),G103-F103,"")</x:f>
      </x:c>
      <x:c r="Q103" s="89" t="str">
        <x:f>IF(OR(H103="On Hold",AND(I103="High",N103&gt;7,H103&lt;&gt;"Completed")),"Critical",IF(OR(AND(N103&gt;=1,N103&lt;=7,H103&lt;&gt;"Completed"),AND(O103&gt;7,H103&lt;&gt;"Completed")),"Warning","Normal"))</x:f>
        <x:v>Warning</x:v>
      </x:c>
      <x:c r="R103" s="90" t="str">
        <x:f>IF(AND(I103="High",N103&gt;7,H103&lt;&gt;"Completed"),"High-priority activity overdue by more than 7 days",IF(H103="On Hold","Activity is on hold",IF(AND(O103&gt;7,H103&lt;&gt;"Completed"),"Open activity has a stale update (&gt;7 days)",IF(AND(N103&gt;=1,N103&lt;=7,H103&lt;&gt;"Completed"),"Open activity overdue by 1-7 days",""))))</x:f>
        <x:v>Open activity has a stale update (&gt;7 days)</x:v>
      </x:c>
    </x:row>
    <x:row r="104">
      <x:c r="A104" s="84" t="str">
        <x:v>ACT-0100</x:v>
      </x:c>
      <x:c r="B104" s="85" t="str">
        <x:v>Project Controls</x:v>
      </x:c>
      <x:c r="C104" s="85" t="str">
        <x:v>PC-A</x:v>
      </x:c>
      <x:c r="D104" s="85" t="str">
        <x:v>Schedule Review</x:v>
      </x:c>
      <x:c r="E104" s="86" t="n">
        <x:v>46211</x:v>
      </x:c>
      <x:c r="F104" s="86" t="n">
        <x:v>46237</x:v>
      </x:c>
      <x:c r="G104" s="86"/>
      <x:c r="H104" s="85" t="str">
        <x:v>In Progress</x:v>
      </x:c>
      <x:c r="I104" s="85" t="str">
        <x:v>Low</x:v>
      </x:c>
      <x:c r="J104" s="87" t="n">
        <x:v>70</x:v>
      </x:c>
      <x:c r="K104" s="85" t="str">
        <x:v>None</x:v>
      </x:c>
      <x:c r="L104" s="86" t="n">
        <x:v>46265</x:v>
      </x:c>
      <x:c r="M104" s="85" t="str">
        <x:v>Team Lead B</x:v>
      </x:c>
      <x:c r="N104" s="88" t="n">
        <x:f>IF(AND(H104&lt;&gt;"Completed",F104&lt;'Summary'!$B$3),'Summary'!$B$3-F104,0)</x:f>
        <x:v>29</x:v>
      </x:c>
      <x:c r="O104" s="88" t="n">
        <x:f>'Summary'!$B$3-L104</x:f>
        <x:v>1</x:v>
      </x:c>
      <x:c r="P104" s="88" t="str">
        <x:f>IF(AND(H104="Completed",G104&lt;&gt;"",F104&lt;&gt;""),G104-F104,"")</x:f>
      </x:c>
      <x:c r="Q104" s="89" t="str">
        <x:f>IF(OR(H104="On Hold",AND(I104="High",N104&gt;7,H104&lt;&gt;"Completed")),"Critical",IF(OR(AND(N104&gt;=1,N104&lt;=7,H104&lt;&gt;"Completed"),AND(O104&gt;7,H104&lt;&gt;"Completed")),"Warning","Normal"))</x:f>
        <x:v>Normal</x:v>
      </x:c>
      <x:c r="R104" s="90" t="str">
        <x:f>IF(AND(I104="High",N104&gt;7,H104&lt;&gt;"Completed"),"High-priority activity overdue by more than 7 days",IF(H104="On Hold","Activity is on hold",IF(AND(O104&gt;7,H104&lt;&gt;"Completed"),"Open activity has a stale update (&gt;7 days)",IF(AND(N104&gt;=1,N104&lt;=7,H104&lt;&gt;"Completed"),"Open activity overdue by 1-7 days",""))))</x:f>
      </x:c>
    </x:row>
    <x:row r="105">
      <x:c r="A105" s="84" t="str">
        <x:v>ACT-0101</x:v>
      </x:c>
      <x:c r="B105" s="85" t="str">
        <x:v>Procurement</x:v>
      </x:c>
      <x:c r="C105" s="85" t="str">
        <x:v>PROC-A</x:v>
      </x:c>
      <x:c r="D105" s="85" t="str">
        <x:v>Material Status Update</x:v>
      </x:c>
      <x:c r="E105" s="86" t="n">
        <x:v>46220</x:v>
      </x:c>
      <x:c r="F105" s="86" t="n">
        <x:v>46225</x:v>
      </x:c>
      <x:c r="G105" s="86"/>
      <x:c r="H105" s="85" t="str">
        <x:v>In Progress</x:v>
      </x:c>
      <x:c r="I105" s="85" t="str">
        <x:v>High</x:v>
      </x:c>
      <x:c r="J105" s="87" t="n">
        <x:v>75</x:v>
      </x:c>
      <x:c r="K105" s="85" t="str">
        <x:v>Material Delay</x:v>
      </x:c>
      <x:c r="L105" s="86" t="n">
        <x:v>46265</x:v>
      </x:c>
      <x:c r="M105" s="85" t="str">
        <x:v>Team Lead F</x:v>
      </x:c>
      <x:c r="N105" s="88" t="n">
        <x:f>IF(AND(H105&lt;&gt;"Completed",F105&lt;'Summary'!$B$3),'Summary'!$B$3-F105,0)</x:f>
        <x:v>41</x:v>
      </x:c>
      <x:c r="O105" s="88" t="n">
        <x:f>'Summary'!$B$3-L105</x:f>
        <x:v>1</x:v>
      </x:c>
      <x:c r="P105" s="88" t="str">
        <x:f>IF(AND(H105="Completed",G105&lt;&gt;"",F105&lt;&gt;""),G105-F105,"")</x:f>
      </x:c>
      <x:c r="Q105" s="89" t="str">
        <x:f>IF(OR(H105="On Hold",AND(I105="High",N105&gt;7,H105&lt;&gt;"Completed")),"Critical",IF(OR(AND(N105&gt;=1,N105&lt;=7,H105&lt;&gt;"Completed"),AND(O105&gt;7,H105&lt;&gt;"Completed")),"Warning","Normal"))</x:f>
        <x:v>Critical</x:v>
      </x:c>
      <x:c r="R105" s="90" t="str">
        <x:f>IF(AND(I105="High",N105&gt;7,H105&lt;&gt;"Completed"),"High-priority activity overdue by more than 7 days",IF(H105="On Hold","Activity is on hold",IF(AND(O105&gt;7,H105&lt;&gt;"Completed"),"Open activity has a stale update (&gt;7 days)",IF(AND(N105&gt;=1,N105&lt;=7,H105&lt;&gt;"Completed"),"Open activity overdue by 1-7 days",""))))</x:f>
        <x:v>High-priority activity overdue by more than 7 days</x:v>
      </x:c>
    </x:row>
    <x:row r="106">
      <x:c r="A106" s="84" t="str">
        <x:v>ACT-0102</x:v>
      </x:c>
      <x:c r="B106" s="85" t="str">
        <x:v>Project Controls</x:v>
      </x:c>
      <x:c r="C106" s="85" t="str">
        <x:v>PC-A</x:v>
      </x:c>
      <x:c r="D106" s="85" t="str">
        <x:v>KPI Update</x:v>
      </x:c>
      <x:c r="E106" s="86" t="n">
        <x:v>46222</x:v>
      </x:c>
      <x:c r="F106" s="86" t="n">
        <x:v>46245</x:v>
      </x:c>
      <x:c r="G106" s="86"/>
      <x:c r="H106" s="85" t="str">
        <x:v>On Hold</x:v>
      </x:c>
      <x:c r="I106" s="85" t="str">
        <x:v>High</x:v>
      </x:c>
      <x:c r="J106" s="87" t="n">
        <x:v>20</x:v>
      </x:c>
      <x:c r="K106" s="85" t="str">
        <x:v>Approval Delay</x:v>
      </x:c>
      <x:c r="L106" s="86" t="n">
        <x:v>46246</x:v>
      </x:c>
      <x:c r="M106" s="85" t="str">
        <x:v>Team Lead E</x:v>
      </x:c>
      <x:c r="N106" s="88" t="n">
        <x:f>IF(AND(H106&lt;&gt;"Completed",F106&lt;'Summary'!$B$3),'Summary'!$B$3-F106,0)</x:f>
        <x:v>21</x:v>
      </x:c>
      <x:c r="O106" s="88" t="n">
        <x:f>'Summary'!$B$3-L106</x:f>
        <x:v>20</x:v>
      </x:c>
      <x:c r="P106" s="88" t="str">
        <x:f>IF(AND(H106="Completed",G106&lt;&gt;"",F106&lt;&gt;""),G106-F106,"")</x:f>
      </x:c>
      <x:c r="Q106" s="89" t="str">
        <x:f>IF(OR(H106="On Hold",AND(I106="High",N106&gt;7,H106&lt;&gt;"Completed")),"Critical",IF(OR(AND(N106&gt;=1,N106&lt;=7,H106&lt;&gt;"Completed"),AND(O106&gt;7,H106&lt;&gt;"Completed")),"Warning","Normal"))</x:f>
        <x:v>Critical</x:v>
      </x:c>
      <x:c r="R106" s="90" t="str">
        <x:f>IF(AND(I106="High",N106&gt;7,H106&lt;&gt;"Completed"),"High-priority activity overdue by more than 7 days",IF(H106="On Hold","Activity is on hold",IF(AND(O106&gt;7,H106&lt;&gt;"Completed"),"Open activity has a stale update (&gt;7 days)",IF(AND(N106&gt;=1,N106&lt;=7,H106&lt;&gt;"Completed"),"Open activity overdue by 1-7 days",""))))</x:f>
        <x:v>High-priority activity overdue by more than 7 days</x:v>
      </x:c>
    </x:row>
    <x:row r="107">
      <x:c r="A107" s="84" t="str">
        <x:v>ACT-0103</x:v>
      </x:c>
      <x:c r="B107" s="85" t="str">
        <x:v>QA/QC</x:v>
      </x:c>
      <x:c r="C107" s="85" t="str">
        <x:v>QA-A</x:v>
      </x:c>
      <x:c r="D107" s="85" t="str">
        <x:v>Test Package</x:v>
      </x:c>
      <x:c r="E107" s="86" t="n">
        <x:v>46255</x:v>
      </x:c>
      <x:c r="F107" s="86" t="n">
        <x:v>46272</x:v>
      </x:c>
      <x:c r="G107" s="86"/>
      <x:c r="H107" s="85" t="str">
        <x:v>Not Started</x:v>
      </x:c>
      <x:c r="I107" s="85" t="str">
        <x:v>Medium</x:v>
      </x:c>
      <x:c r="J107" s="87" t="n">
        <x:v>5</x:v>
      </x:c>
      <x:c r="K107" s="85" t="str">
        <x:v>None</x:v>
      </x:c>
      <x:c r="L107" s="86" t="n">
        <x:v>46260</x:v>
      </x:c>
      <x:c r="M107" s="85" t="str">
        <x:v>Team Lead A</x:v>
      </x:c>
      <x:c r="N107" s="88" t="n">
        <x:f>IF(AND(H107&lt;&gt;"Completed",F107&lt;'Summary'!$B$3),'Summary'!$B$3-F107,0)</x:f>
        <x:v>0</x:v>
      </x:c>
      <x:c r="O107" s="88" t="n">
        <x:f>'Summary'!$B$3-L107</x:f>
        <x:v>6</x:v>
      </x:c>
      <x:c r="P107" s="88" t="str">
        <x:f>IF(AND(H107="Completed",G107&lt;&gt;"",F107&lt;&gt;""),G107-F107,"")</x:f>
      </x:c>
      <x:c r="Q107" s="89" t="str">
        <x:f>IF(OR(H107="On Hold",AND(I107="High",N107&gt;7,H107&lt;&gt;"Completed")),"Critical",IF(OR(AND(N107&gt;=1,N107&lt;=7,H107&lt;&gt;"Completed"),AND(O107&gt;7,H107&lt;&gt;"Completed")),"Warning","Normal"))</x:f>
        <x:v>Normal</x:v>
      </x:c>
      <x:c r="R107" s="90" t="str">
        <x:f>IF(AND(I107="High",N107&gt;7,H107&lt;&gt;"Completed"),"High-priority activity overdue by more than 7 days",IF(H107="On Hold","Activity is on hold",IF(AND(O107&gt;7,H107&lt;&gt;"Completed"),"Open activity has a stale update (&gt;7 days)",IF(AND(N107&gt;=1,N107&lt;=7,H107&lt;&gt;"Completed"),"Open activity overdue by 1-7 days",""))))</x:f>
      </x:c>
    </x:row>
    <x:row r="108">
      <x:c r="A108" s="84" t="str">
        <x:v>ACT-0104</x:v>
      </x:c>
      <x:c r="B108" s="85" t="str">
        <x:v>QA/QC</x:v>
      </x:c>
      <x:c r="C108" s="85" t="str">
        <x:v>QA-B</x:v>
      </x:c>
      <x:c r="D108" s="85" t="str">
        <x:v>Test Package</x:v>
      </x:c>
      <x:c r="E108" s="86" t="n">
        <x:v>46186</x:v>
      </x:c>
      <x:c r="F108" s="86" t="n">
        <x:v>46196</x:v>
      </x:c>
      <x:c r="G108" s="86"/>
      <x:c r="H108" s="85" t="str">
        <x:v>In Progress</x:v>
      </x:c>
      <x:c r="I108" s="85" t="str">
        <x:v>High</x:v>
      </x:c>
      <x:c r="J108" s="87" t="n">
        <x:v>70</x:v>
      </x:c>
      <x:c r="K108" s="85" t="str">
        <x:v>Rework</x:v>
      </x:c>
      <x:c r="L108" s="86" t="n">
        <x:v>46261</x:v>
      </x:c>
      <x:c r="M108" s="85" t="str">
        <x:v>Team Lead F</x:v>
      </x:c>
      <x:c r="N108" s="88" t="n">
        <x:f>IF(AND(H108&lt;&gt;"Completed",F108&lt;'Summary'!$B$3),'Summary'!$B$3-F108,0)</x:f>
        <x:v>70</x:v>
      </x:c>
      <x:c r="O108" s="88" t="n">
        <x:f>'Summary'!$B$3-L108</x:f>
        <x:v>5</x:v>
      </x:c>
      <x:c r="P108" s="88" t="str">
        <x:f>IF(AND(H108="Completed",G108&lt;&gt;"",F108&lt;&gt;""),G108-F108,"")</x:f>
      </x:c>
      <x:c r="Q108" s="89" t="str">
        <x:f>IF(OR(H108="On Hold",AND(I108="High",N108&gt;7,H108&lt;&gt;"Completed")),"Critical",IF(OR(AND(N108&gt;=1,N108&lt;=7,H108&lt;&gt;"Completed"),AND(O108&gt;7,H108&lt;&gt;"Completed")),"Warning","Normal"))</x:f>
        <x:v>Critical</x:v>
      </x:c>
      <x:c r="R108" s="90" t="str">
        <x:f>IF(AND(I108="High",N108&gt;7,H108&lt;&gt;"Completed"),"High-priority activity overdue by more than 7 days",IF(H108="On Hold","Activity is on hold",IF(AND(O108&gt;7,H108&lt;&gt;"Completed"),"Open activity has a stale update (&gt;7 days)",IF(AND(N108&gt;=1,N108&lt;=7,H108&lt;&gt;"Completed"),"Open activity overdue by 1-7 days",""))))</x:f>
        <x:v>High-priority activity overdue by more than 7 days</x:v>
      </x:c>
    </x:row>
    <x:row r="109">
      <x:c r="A109" s="84" t="str">
        <x:v>ACT-0105</x:v>
      </x:c>
      <x:c r="B109" s="85" t="str">
        <x:v>Construction</x:v>
      </x:c>
      <x:c r="C109" s="85" t="str">
        <x:v>CONST-B</x:v>
      </x:c>
      <x:c r="D109" s="85" t="str">
        <x:v>Punch Clearance</x:v>
      </x:c>
      <x:c r="E109" s="86" t="n">
        <x:v>46227</x:v>
      </x:c>
      <x:c r="F109" s="86" t="n">
        <x:v>46250</x:v>
      </x:c>
      <x:c r="G109" s="86" t="n">
        <x:v>46258</x:v>
      </x:c>
      <x:c r="H109" s="85" t="str">
        <x:v>Completed</x:v>
      </x:c>
      <x:c r="I109" s="85" t="str">
        <x:v>Medium</x:v>
      </x:c>
      <x:c r="J109" s="87" t="n">
        <x:v>100</x:v>
      </x:c>
      <x:c r="K109" s="85" t="str">
        <x:v>None</x:v>
      </x:c>
      <x:c r="L109" s="86" t="n">
        <x:v>46256</x:v>
      </x:c>
      <x:c r="M109" s="85" t="str">
        <x:v>Team Lead C</x:v>
      </x:c>
      <x:c r="N109" s="88" t="n">
        <x:f>IF(AND(H109&lt;&gt;"Completed",F109&lt;'Summary'!$B$3),'Summary'!$B$3-F109,0)</x:f>
        <x:v>0</x:v>
      </x:c>
      <x:c r="O109" s="88" t="n">
        <x:f>'Summary'!$B$3-L109</x:f>
        <x:v>10</x:v>
      </x:c>
      <x:c r="P109" s="88" t="n">
        <x:f>IF(AND(H109="Completed",G109&lt;&gt;"",F109&lt;&gt;""),G109-F109,"")</x:f>
        <x:v>8</x:v>
      </x:c>
      <x:c r="Q109" s="89" t="str">
        <x:f>IF(OR(H109="On Hold",AND(I109="High",N109&gt;7,H109&lt;&gt;"Completed")),"Critical",IF(OR(AND(N109&gt;=1,N109&lt;=7,H109&lt;&gt;"Completed"),AND(O109&gt;7,H109&lt;&gt;"Completed")),"Warning","Normal"))</x:f>
        <x:v>Normal</x:v>
      </x:c>
      <x:c r="R109" s="90" t="str">
        <x:f>IF(AND(I109="High",N109&gt;7,H109&lt;&gt;"Completed"),"High-priority activity overdue by more than 7 days",IF(H109="On Hold","Activity is on hold",IF(AND(O109&gt;7,H109&lt;&gt;"Completed"),"Open activity has a stale update (&gt;7 days)",IF(AND(N109&gt;=1,N109&lt;=7,H109&lt;&gt;"Completed"),"Open activity overdue by 1-7 days",""))))</x:f>
      </x:c>
    </x:row>
    <x:row r="110">
      <x:c r="A110" s="84" t="str">
        <x:v>ACT-0106</x:v>
      </x:c>
      <x:c r="B110" s="85" t="str">
        <x:v>Engineering</x:v>
      </x:c>
      <x:c r="C110" s="85" t="str">
        <x:v>ENG-B</x:v>
      </x:c>
      <x:c r="D110" s="85" t="str">
        <x:v>RFI Closure</x:v>
      </x:c>
      <x:c r="E110" s="86" t="n">
        <x:v>46220</x:v>
      </x:c>
      <x:c r="F110" s="86" t="n">
        <x:v>46226</x:v>
      </x:c>
      <x:c r="G110" s="86"/>
      <x:c r="H110" s="85" t="str">
        <x:v>On Hold</x:v>
      </x:c>
      <x:c r="I110" s="85" t="str">
        <x:v>Medium</x:v>
      </x:c>
      <x:c r="J110" s="87" t="n">
        <x:v>60</x:v>
      </x:c>
      <x:c r="K110" s="85" t="str">
        <x:v>Approval Delay</x:v>
      </x:c>
      <x:c r="L110" s="86" t="n">
        <x:v>46250</x:v>
      </x:c>
      <x:c r="M110" s="85" t="str">
        <x:v>Team Lead C</x:v>
      </x:c>
      <x:c r="N110" s="88" t="n">
        <x:f>IF(AND(H110&lt;&gt;"Completed",F110&lt;'Summary'!$B$3),'Summary'!$B$3-F110,0)</x:f>
        <x:v>40</x:v>
      </x:c>
      <x:c r="O110" s="88" t="n">
        <x:f>'Summary'!$B$3-L110</x:f>
        <x:v>16</x:v>
      </x:c>
      <x:c r="P110" s="88" t="str">
        <x:f>IF(AND(H110="Completed",G110&lt;&gt;"",F110&lt;&gt;""),G110-F110,"")</x:f>
      </x:c>
      <x:c r="Q110" s="89" t="str">
        <x:f>IF(OR(H110="On Hold",AND(I110="High",N110&gt;7,H110&lt;&gt;"Completed")),"Critical",IF(OR(AND(N110&gt;=1,N110&lt;=7,H110&lt;&gt;"Completed"),AND(O110&gt;7,H110&lt;&gt;"Completed")),"Warning","Normal"))</x:f>
        <x:v>Critical</x:v>
      </x:c>
      <x:c r="R110" s="90" t="str">
        <x:f>IF(AND(I110="High",N110&gt;7,H110&lt;&gt;"Completed"),"High-priority activity overdue by more than 7 days",IF(H110="On Hold","Activity is on hold",IF(AND(O110&gt;7,H110&lt;&gt;"Completed"),"Open activity has a stale update (&gt;7 days)",IF(AND(N110&gt;=1,N110&lt;=7,H110&lt;&gt;"Completed"),"Open activity overdue by 1-7 days",""))))</x:f>
        <x:v>Activity is on hold</x:v>
      </x:c>
    </x:row>
    <x:row r="111">
      <x:c r="A111" s="84" t="str">
        <x:v>ACT-0107</x:v>
      </x:c>
      <x:c r="B111" s="85" t="str">
        <x:v>Engineering</x:v>
      </x:c>
      <x:c r="C111" s="85" t="str">
        <x:v>ENG-A</x:v>
      </x:c>
      <x:c r="D111" s="85" t="str">
        <x:v>Design Update</x:v>
      </x:c>
      <x:c r="E111" s="86" t="n">
        <x:v>46185</x:v>
      </x:c>
      <x:c r="F111" s="86" t="n">
        <x:v>46209</x:v>
      </x:c>
      <x:c r="G111" s="86" t="n">
        <x:v>46204</x:v>
      </x:c>
      <x:c r="H111" s="85" t="str">
        <x:v>Completed</x:v>
      </x:c>
      <x:c r="I111" s="85" t="str">
        <x:v>Medium</x:v>
      </x:c>
      <x:c r="J111" s="87" t="n">
        <x:v>100</x:v>
      </x:c>
      <x:c r="K111" s="85" t="str">
        <x:v>Rework</x:v>
      </x:c>
      <x:c r="L111" s="86" t="n">
        <x:v>46204</x:v>
      </x:c>
      <x:c r="M111" s="85" t="str">
        <x:v>Team Lead B</x:v>
      </x:c>
      <x:c r="N111" s="88" t="n">
        <x:f>IF(AND(H111&lt;&gt;"Completed",F111&lt;'Summary'!$B$3),'Summary'!$B$3-F111,0)</x:f>
        <x:v>0</x:v>
      </x:c>
      <x:c r="O111" s="88" t="n">
        <x:f>'Summary'!$B$3-L111</x:f>
        <x:v>62</x:v>
      </x:c>
      <x:c r="P111" s="88" t="n">
        <x:f>IF(AND(H111="Completed",G111&lt;&gt;"",F111&lt;&gt;""),G111-F111,"")</x:f>
        <x:v>-5</x:v>
      </x:c>
      <x:c r="Q111" s="89" t="str">
        <x:f>IF(OR(H111="On Hold",AND(I111="High",N111&gt;7,H111&lt;&gt;"Completed")),"Critical",IF(OR(AND(N111&gt;=1,N111&lt;=7,H111&lt;&gt;"Completed"),AND(O111&gt;7,H111&lt;&gt;"Completed")),"Warning","Normal"))</x:f>
        <x:v>Normal</x:v>
      </x:c>
      <x:c r="R111" s="90" t="str">
        <x:f>IF(AND(I111="High",N111&gt;7,H111&lt;&gt;"Completed"),"High-priority activity overdue by more than 7 days",IF(H111="On Hold","Activity is on hold",IF(AND(O111&gt;7,H111&lt;&gt;"Completed"),"Open activity has a stale update (&gt;7 days)",IF(AND(N111&gt;=1,N111&lt;=7,H111&lt;&gt;"Completed"),"Open activity overdue by 1-7 days",""))))</x:f>
      </x:c>
    </x:row>
    <x:row r="112">
      <x:c r="A112" s="84" t="str">
        <x:v>ACT-0108</x:v>
      </x:c>
      <x:c r="B112" s="85" t="str">
        <x:v>Procurement</x:v>
      </x:c>
      <x:c r="C112" s="85" t="str">
        <x:v>PROC-A</x:v>
      </x:c>
      <x:c r="D112" s="85" t="str">
        <x:v>Material Delivery</x:v>
      </x:c>
      <x:c r="E112" s="86" t="n">
        <x:v>46244</x:v>
      </x:c>
      <x:c r="F112" s="86" t="n">
        <x:v>46253</x:v>
      </x:c>
      <x:c r="G112" s="86"/>
      <x:c r="H112" s="85" t="str">
        <x:v>In Progress</x:v>
      </x:c>
      <x:c r="I112" s="85" t="str">
        <x:v>Low</x:v>
      </x:c>
      <x:c r="J112" s="87" t="n">
        <x:v>50</x:v>
      </x:c>
      <x:c r="K112" s="85" t="str">
        <x:v>Documentation</x:v>
      </x:c>
      <x:c r="L112" s="86" t="n">
        <x:v>46261</x:v>
      </x:c>
      <x:c r="M112" s="85" t="str">
        <x:v>Team Lead E</x:v>
      </x:c>
      <x:c r="N112" s="88" t="n">
        <x:f>IF(AND(H112&lt;&gt;"Completed",F112&lt;'Summary'!$B$3),'Summary'!$B$3-F112,0)</x:f>
        <x:v>13</x:v>
      </x:c>
      <x:c r="O112" s="88" t="n">
        <x:f>'Summary'!$B$3-L112</x:f>
        <x:v>5</x:v>
      </x:c>
      <x:c r="P112" s="88" t="str">
        <x:f>IF(AND(H112="Completed",G112&lt;&gt;"",F112&lt;&gt;""),G112-F112,"")</x:f>
      </x:c>
      <x:c r="Q112" s="89" t="str">
        <x:f>IF(OR(H112="On Hold",AND(I112="High",N112&gt;7,H112&lt;&gt;"Completed")),"Critical",IF(OR(AND(N112&gt;=1,N112&lt;=7,H112&lt;&gt;"Completed"),AND(O112&gt;7,H112&lt;&gt;"Completed")),"Warning","Normal"))</x:f>
        <x:v>Normal</x:v>
      </x:c>
      <x:c r="R112" s="90" t="str">
        <x:f>IF(AND(I112="High",N112&gt;7,H112&lt;&gt;"Completed"),"High-priority activity overdue by more than 7 days",IF(H112="On Hold","Activity is on hold",IF(AND(O112&gt;7,H112&lt;&gt;"Completed"),"Open activity has a stale update (&gt;7 days)",IF(AND(N112&gt;=1,N112&lt;=7,H112&lt;&gt;"Completed"),"Open activity overdue by 1-7 days",""))))</x:f>
      </x:c>
    </x:row>
    <x:row r="113">
      <x:c r="A113" s="84" t="str">
        <x:v>ACT-0109</x:v>
      </x:c>
      <x:c r="B113" s="85" t="str">
        <x:v>Engineering</x:v>
      </x:c>
      <x:c r="C113" s="85" t="str">
        <x:v>ENG-A</x:v>
      </x:c>
      <x:c r="D113" s="85" t="str">
        <x:v>RFI Closure</x:v>
      </x:c>
      <x:c r="E113" s="86" t="n">
        <x:v>46243</x:v>
      </x:c>
      <x:c r="F113" s="86" t="n">
        <x:v>46254</x:v>
      </x:c>
      <x:c r="G113" s="86"/>
      <x:c r="H113" s="85" t="str">
        <x:v>In Progress</x:v>
      </x:c>
      <x:c r="I113" s="85" t="str">
        <x:v>High</x:v>
      </x:c>
      <x:c r="J113" s="87" t="n">
        <x:v>25</x:v>
      </x:c>
      <x:c r="K113" s="85" t="str">
        <x:v>None</x:v>
      </x:c>
      <x:c r="L113" s="86" t="n">
        <x:v>46264</x:v>
      </x:c>
      <x:c r="M113" s="85" t="str">
        <x:v>Team Lead B</x:v>
      </x:c>
      <x:c r="N113" s="88" t="n">
        <x:f>IF(AND(H113&lt;&gt;"Completed",F113&lt;'Summary'!$B$3),'Summary'!$B$3-F113,0)</x:f>
        <x:v>12</x:v>
      </x:c>
      <x:c r="O113" s="88" t="n">
        <x:f>'Summary'!$B$3-L113</x:f>
        <x:v>2</x:v>
      </x:c>
      <x:c r="P113" s="88" t="str">
        <x:f>IF(AND(H113="Completed",G113&lt;&gt;"",F113&lt;&gt;""),G113-F113,"")</x:f>
      </x:c>
      <x:c r="Q113" s="89" t="str">
        <x:f>IF(OR(H113="On Hold",AND(I113="High",N113&gt;7,H113&lt;&gt;"Completed")),"Critical",IF(OR(AND(N113&gt;=1,N113&lt;=7,H113&lt;&gt;"Completed"),AND(O113&gt;7,H113&lt;&gt;"Completed")),"Warning","Normal"))</x:f>
        <x:v>Critical</x:v>
      </x:c>
      <x:c r="R113" s="90" t="str">
        <x:f>IF(AND(I113="High",N113&gt;7,H113&lt;&gt;"Completed"),"High-priority activity overdue by more than 7 days",IF(H113="On Hold","Activity is on hold",IF(AND(O113&gt;7,H113&lt;&gt;"Completed"),"Open activity has a stale update (&gt;7 days)",IF(AND(N113&gt;=1,N113&lt;=7,H113&lt;&gt;"Completed"),"Open activity overdue by 1-7 days",""))))</x:f>
        <x:v>High-priority activity overdue by more than 7 days</x:v>
      </x:c>
    </x:row>
    <x:row r="114">
      <x:c r="A114" s="84" t="str">
        <x:v>ACT-0110</x:v>
      </x:c>
      <x:c r="B114" s="85" t="str">
        <x:v>Construction</x:v>
      </x:c>
      <x:c r="C114" s="85" t="str">
        <x:v>CONST-A</x:v>
      </x:c>
      <x:c r="D114" s="85" t="str">
        <x:v>Punch Clearance</x:v>
      </x:c>
      <x:c r="E114" s="86" t="n">
        <x:v>46207</x:v>
      </x:c>
      <x:c r="F114" s="86" t="n">
        <x:v>46211</x:v>
      </x:c>
      <x:c r="G114" s="86" t="n">
        <x:v>46209</x:v>
      </x:c>
      <x:c r="H114" s="85" t="str">
        <x:v>Completed</x:v>
      </x:c>
      <x:c r="I114" s="85" t="str">
        <x:v>Medium</x:v>
      </x:c>
      <x:c r="J114" s="87" t="n">
        <x:v>100</x:v>
      </x:c>
      <x:c r="K114" s="85" t="str">
        <x:v>None</x:v>
      </x:c>
      <x:c r="L114" s="86" t="n">
        <x:v>46209</x:v>
      </x:c>
      <x:c r="M114" s="85" t="str">
        <x:v>Team Lead C</x:v>
      </x:c>
      <x:c r="N114" s="88" t="n">
        <x:f>IF(AND(H114&lt;&gt;"Completed",F114&lt;'Summary'!$B$3),'Summary'!$B$3-F114,0)</x:f>
        <x:v>0</x:v>
      </x:c>
      <x:c r="O114" s="88" t="n">
        <x:f>'Summary'!$B$3-L114</x:f>
        <x:v>57</x:v>
      </x:c>
      <x:c r="P114" s="88" t="n">
        <x:f>IF(AND(H114="Completed",G114&lt;&gt;"",F114&lt;&gt;""),G114-F114,"")</x:f>
        <x:v>-2</x:v>
      </x:c>
      <x:c r="Q114" s="89" t="str">
        <x:f>IF(OR(H114="On Hold",AND(I114="High",N114&gt;7,H114&lt;&gt;"Completed")),"Critical",IF(OR(AND(N114&gt;=1,N114&lt;=7,H114&lt;&gt;"Completed"),AND(O114&gt;7,H114&lt;&gt;"Completed")),"Warning","Normal"))</x:f>
        <x:v>Normal</x:v>
      </x:c>
      <x:c r="R114" s="90" t="str">
        <x:f>IF(AND(I114="High",N114&gt;7,H114&lt;&gt;"Completed"),"High-priority activity overdue by more than 7 days",IF(H114="On Hold","Activity is on hold",IF(AND(O114&gt;7,H114&lt;&gt;"Completed"),"Open activity has a stale update (&gt;7 days)",IF(AND(N114&gt;=1,N114&lt;=7,H114&lt;&gt;"Completed"),"Open activity overdue by 1-7 days",""))))</x:f>
      </x:c>
    </x:row>
    <x:row r="115">
      <x:c r="A115" s="84" t="str">
        <x:v>ACT-0111</x:v>
      </x:c>
      <x:c r="B115" s="85" t="str">
        <x:v>Construction</x:v>
      </x:c>
      <x:c r="C115" s="85" t="str">
        <x:v>CONST-A</x:v>
      </x:c>
      <x:c r="D115" s="85" t="str">
        <x:v>Site Preparation</x:v>
      </x:c>
      <x:c r="E115" s="86" t="n">
        <x:v>46238</x:v>
      </x:c>
      <x:c r="F115" s="86" t="n">
        <x:v>46248</x:v>
      </x:c>
      <x:c r="G115" s="86"/>
      <x:c r="H115" s="85" t="str">
        <x:v>On Hold</x:v>
      </x:c>
      <x:c r="I115" s="85" t="str">
        <x:v>High</x:v>
      </x:c>
      <x:c r="J115" s="87" t="n">
        <x:v>70</x:v>
      </x:c>
      <x:c r="K115" s="85" t="str">
        <x:v>Manpower</x:v>
      </x:c>
      <x:c r="L115" s="86" t="n">
        <x:v>46252</x:v>
      </x:c>
      <x:c r="M115" s="85" t="str">
        <x:v>Team Lead A</x:v>
      </x:c>
      <x:c r="N115" s="88" t="n">
        <x:f>IF(AND(H115&lt;&gt;"Completed",F115&lt;'Summary'!$B$3),'Summary'!$B$3-F115,0)</x:f>
        <x:v>18</x:v>
      </x:c>
      <x:c r="O115" s="88" t="n">
        <x:f>'Summary'!$B$3-L115</x:f>
        <x:v>14</x:v>
      </x:c>
      <x:c r="P115" s="88" t="str">
        <x:f>IF(AND(H115="Completed",G115&lt;&gt;"",F115&lt;&gt;""),G115-F115,"")</x:f>
      </x:c>
      <x:c r="Q115" s="89" t="str">
        <x:f>IF(OR(H115="On Hold",AND(I115="High",N115&gt;7,H115&lt;&gt;"Completed")),"Critical",IF(OR(AND(N115&gt;=1,N115&lt;=7,H115&lt;&gt;"Completed"),AND(O115&gt;7,H115&lt;&gt;"Completed")),"Warning","Normal"))</x:f>
        <x:v>Critical</x:v>
      </x:c>
      <x:c r="R115" s="90" t="str">
        <x:f>IF(AND(I115="High",N115&gt;7,H115&lt;&gt;"Completed"),"High-priority activity overdue by more than 7 days",IF(H115="On Hold","Activity is on hold",IF(AND(O115&gt;7,H115&lt;&gt;"Completed"),"Open activity has a stale update (&gt;7 days)",IF(AND(N115&gt;=1,N115&lt;=7,H115&lt;&gt;"Completed"),"Open activity overdue by 1-7 days",""))))</x:f>
        <x:v>High-priority activity overdue by more than 7 days</x:v>
      </x:c>
    </x:row>
    <x:row r="116">
      <x:c r="A116" s="84" t="str">
        <x:v>ACT-0112</x:v>
      </x:c>
      <x:c r="B116" s="85" t="str">
        <x:v>Engineering</x:v>
      </x:c>
      <x:c r="C116" s="85" t="str">
        <x:v>ENG-B</x:v>
      </x:c>
      <x:c r="D116" s="85" t="str">
        <x:v>Design Update</x:v>
      </x:c>
      <x:c r="E116" s="86" t="n">
        <x:v>46228</x:v>
      </x:c>
      <x:c r="F116" s="86" t="n">
        <x:v>46252</x:v>
      </x:c>
      <x:c r="G116" s="86" t="n">
        <x:v>46261</x:v>
      </x:c>
      <x:c r="H116" s="85" t="str">
        <x:v>Completed</x:v>
      </x:c>
      <x:c r="I116" s="85" t="str">
        <x:v>Medium</x:v>
      </x:c>
      <x:c r="J116" s="87" t="n">
        <x:v>100</x:v>
      </x:c>
      <x:c r="K116" s="85" t="str">
        <x:v>Documentation</x:v>
      </x:c>
      <x:c r="L116" s="86" t="n">
        <x:v>46261</x:v>
      </x:c>
      <x:c r="M116" s="85" t="str">
        <x:v>Team Lead C</x:v>
      </x:c>
      <x:c r="N116" s="88" t="n">
        <x:f>IF(AND(H116&lt;&gt;"Completed",F116&lt;'Summary'!$B$3),'Summary'!$B$3-F116,0)</x:f>
        <x:v>0</x:v>
      </x:c>
      <x:c r="O116" s="88" t="n">
        <x:f>'Summary'!$B$3-L116</x:f>
        <x:v>5</x:v>
      </x:c>
      <x:c r="P116" s="88" t="n">
        <x:f>IF(AND(H116="Completed",G116&lt;&gt;"",F116&lt;&gt;""),G116-F116,"")</x:f>
        <x:v>9</x:v>
      </x:c>
      <x:c r="Q116" s="89" t="str">
        <x:f>IF(OR(H116="On Hold",AND(I116="High",N116&gt;7,H116&lt;&gt;"Completed")),"Critical",IF(OR(AND(N116&gt;=1,N116&lt;=7,H116&lt;&gt;"Completed"),AND(O116&gt;7,H116&lt;&gt;"Completed")),"Warning","Normal"))</x:f>
        <x:v>Normal</x:v>
      </x:c>
      <x:c r="R116" s="90" t="str">
        <x:f>IF(AND(I116="High",N116&gt;7,H116&lt;&gt;"Completed"),"High-priority activity overdue by more than 7 days",IF(H116="On Hold","Activity is on hold",IF(AND(O116&gt;7,H116&lt;&gt;"Completed"),"Open activity has a stale update (&gt;7 days)",IF(AND(N116&gt;=1,N116&lt;=7,H116&lt;&gt;"Completed"),"Open activity overdue by 1-7 days",""))))</x:f>
      </x:c>
    </x:row>
    <x:row r="117">
      <x:c r="A117" s="84" t="str">
        <x:v>ACT-0113</x:v>
      </x:c>
      <x:c r="B117" s="85" t="str">
        <x:v>Construction</x:v>
      </x:c>
      <x:c r="C117" s="85" t="str">
        <x:v>CONST-A</x:v>
      </x:c>
      <x:c r="D117" s="85" t="str">
        <x:v>Punch Clearance</x:v>
      </x:c>
      <x:c r="E117" s="86" t="n">
        <x:v>46209</x:v>
      </x:c>
      <x:c r="F117" s="86" t="n">
        <x:v>46231</x:v>
      </x:c>
      <x:c r="G117" s="86" t="n">
        <x:v>46236</x:v>
      </x:c>
      <x:c r="H117" s="85" t="str">
        <x:v>Completed</x:v>
      </x:c>
      <x:c r="I117" s="85" t="str">
        <x:v>Medium</x:v>
      </x:c>
      <x:c r="J117" s="87" t="n">
        <x:v>100</x:v>
      </x:c>
      <x:c r="K117" s="85" t="str">
        <x:v>Access Constraint</x:v>
      </x:c>
      <x:c r="L117" s="86" t="n">
        <x:v>46233</x:v>
      </x:c>
      <x:c r="M117" s="85" t="str">
        <x:v>Team Lead E</x:v>
      </x:c>
      <x:c r="N117" s="88" t="n">
        <x:f>IF(AND(H117&lt;&gt;"Completed",F117&lt;'Summary'!$B$3),'Summary'!$B$3-F117,0)</x:f>
        <x:v>0</x:v>
      </x:c>
      <x:c r="O117" s="88" t="n">
        <x:f>'Summary'!$B$3-L117</x:f>
        <x:v>33</x:v>
      </x:c>
      <x:c r="P117" s="88" t="n">
        <x:f>IF(AND(H117="Completed",G117&lt;&gt;"",F117&lt;&gt;""),G117-F117,"")</x:f>
        <x:v>5</x:v>
      </x:c>
      <x:c r="Q117" s="89" t="str">
        <x:f>IF(OR(H117="On Hold",AND(I117="High",N117&gt;7,H117&lt;&gt;"Completed")),"Critical",IF(OR(AND(N117&gt;=1,N117&lt;=7,H117&lt;&gt;"Completed"),AND(O117&gt;7,H117&lt;&gt;"Completed")),"Warning","Normal"))</x:f>
        <x:v>Normal</x:v>
      </x:c>
      <x:c r="R117" s="90" t="str">
        <x:f>IF(AND(I117="High",N117&gt;7,H117&lt;&gt;"Completed"),"High-priority activity overdue by more than 7 days",IF(H117="On Hold","Activity is on hold",IF(AND(O117&gt;7,H117&lt;&gt;"Completed"),"Open activity has a stale update (&gt;7 days)",IF(AND(N117&gt;=1,N117&lt;=7,H117&lt;&gt;"Completed"),"Open activity overdue by 1-7 days",""))))</x:f>
      </x:c>
    </x:row>
    <x:row r="118">
      <x:c r="A118" s="84" t="str">
        <x:v>ACT-0114</x:v>
      </x:c>
      <x:c r="B118" s="85" t="str">
        <x:v>QA/QC</x:v>
      </x:c>
      <x:c r="C118" s="85" t="str">
        <x:v>QA-B</x:v>
      </x:c>
      <x:c r="D118" s="85" t="str">
        <x:v>Test Package</x:v>
      </x:c>
      <x:c r="E118" s="86" t="n">
        <x:v>46263</x:v>
      </x:c>
      <x:c r="F118" s="86" t="n">
        <x:v>46269</x:v>
      </x:c>
      <x:c r="G118" s="86"/>
      <x:c r="H118" s="85" t="str">
        <x:v>Not Started</x:v>
      </x:c>
      <x:c r="I118" s="85" t="str">
        <x:v>Medium</x:v>
      </x:c>
      <x:c r="J118" s="87" t="n">
        <x:v>10</x:v>
      </x:c>
      <x:c r="K118" s="85" t="str">
        <x:v>Material Delay</x:v>
      </x:c>
      <x:c r="L118" s="86" t="n">
        <x:v>46257</x:v>
      </x:c>
      <x:c r="M118" s="85" t="str">
        <x:v>Team Lead B</x:v>
      </x:c>
      <x:c r="N118" s="88" t="n">
        <x:f>IF(AND(H118&lt;&gt;"Completed",F118&lt;'Summary'!$B$3),'Summary'!$B$3-F118,0)</x:f>
        <x:v>0</x:v>
      </x:c>
      <x:c r="O118" s="88" t="n">
        <x:f>'Summary'!$B$3-L118</x:f>
        <x:v>9</x:v>
      </x:c>
      <x:c r="P118" s="88" t="str">
        <x:f>IF(AND(H118="Completed",G118&lt;&gt;"",F118&lt;&gt;""),G118-F118,"")</x:f>
      </x:c>
      <x:c r="Q118" s="89" t="str">
        <x:f>IF(OR(H118="On Hold",AND(I118="High",N118&gt;7,H118&lt;&gt;"Completed")),"Critical",IF(OR(AND(N118&gt;=1,N118&lt;=7,H118&lt;&gt;"Completed"),AND(O118&gt;7,H118&lt;&gt;"Completed")),"Warning","Normal"))</x:f>
        <x:v>Warning</x:v>
      </x:c>
      <x:c r="R118" s="90" t="str">
        <x:f>IF(AND(I118="High",N118&gt;7,H118&lt;&gt;"Completed"),"High-priority activity overdue by more than 7 days",IF(H118="On Hold","Activity is on hold",IF(AND(O118&gt;7,H118&lt;&gt;"Completed"),"Open activity has a stale update (&gt;7 days)",IF(AND(N118&gt;=1,N118&lt;=7,H118&lt;&gt;"Completed"),"Open activity overdue by 1-7 days",""))))</x:f>
        <x:v>Open activity has a stale update (&gt;7 days)</x:v>
      </x:c>
    </x:row>
    <x:row r="119">
      <x:c r="A119" s="84" t="str">
        <x:v>ACT-0115</x:v>
      </x:c>
      <x:c r="B119" s="85" t="str">
        <x:v>QA/QC</x:v>
      </x:c>
      <x:c r="C119" s="85" t="str">
        <x:v>QA-B</x:v>
      </x:c>
      <x:c r="D119" s="85" t="str">
        <x:v>Quality Review</x:v>
      </x:c>
      <x:c r="E119" s="86" t="n">
        <x:v>46227</x:v>
      </x:c>
      <x:c r="F119" s="86" t="n">
        <x:v>46253</x:v>
      </x:c>
      <x:c r="G119" s="86" t="n">
        <x:v>46256</x:v>
      </x:c>
      <x:c r="H119" s="85" t="str">
        <x:v>Completed</x:v>
      </x:c>
      <x:c r="I119" s="85" t="str">
        <x:v>Medium</x:v>
      </x:c>
      <x:c r="J119" s="87" t="n">
        <x:v>100</x:v>
      </x:c>
      <x:c r="K119" s="85" t="str">
        <x:v>Documentation</x:v>
      </x:c>
      <x:c r="L119" s="86" t="n">
        <x:v>46254</x:v>
      </x:c>
      <x:c r="M119" s="85" t="str">
        <x:v>Team Lead F</x:v>
      </x:c>
      <x:c r="N119" s="88" t="n">
        <x:f>IF(AND(H119&lt;&gt;"Completed",F119&lt;'Summary'!$B$3),'Summary'!$B$3-F119,0)</x:f>
        <x:v>0</x:v>
      </x:c>
      <x:c r="O119" s="88" t="n">
        <x:f>'Summary'!$B$3-L119</x:f>
        <x:v>12</x:v>
      </x:c>
      <x:c r="P119" s="88" t="n">
        <x:f>IF(AND(H119="Completed",G119&lt;&gt;"",F119&lt;&gt;""),G119-F119,"")</x:f>
        <x:v>3</x:v>
      </x:c>
      <x:c r="Q119" s="89" t="str">
        <x:f>IF(OR(H119="On Hold",AND(I119="High",N119&gt;7,H119&lt;&gt;"Completed")),"Critical",IF(OR(AND(N119&gt;=1,N119&lt;=7,H119&lt;&gt;"Completed"),AND(O119&gt;7,H119&lt;&gt;"Completed")),"Warning","Normal"))</x:f>
        <x:v>Normal</x:v>
      </x:c>
      <x:c r="R119" s="90" t="str">
        <x:f>IF(AND(I119="High",N119&gt;7,H119&lt;&gt;"Completed"),"High-priority activity overdue by more than 7 days",IF(H119="On Hold","Activity is on hold",IF(AND(O119&gt;7,H119&lt;&gt;"Completed"),"Open activity has a stale update (&gt;7 days)",IF(AND(N119&gt;=1,N119&lt;=7,H119&lt;&gt;"Completed"),"Open activity overdue by 1-7 days",""))))</x:f>
      </x:c>
    </x:row>
    <x:row r="120">
      <x:c r="A120" s="84" t="str">
        <x:v>ACT-0116</x:v>
      </x:c>
      <x:c r="B120" s="85" t="str">
        <x:v>Procurement</x:v>
      </x:c>
      <x:c r="C120" s="85" t="str">
        <x:v>PROC-A</x:v>
      </x:c>
      <x:c r="D120" s="85" t="str">
        <x:v>Material Delivery</x:v>
      </x:c>
      <x:c r="E120" s="86" t="n">
        <x:v>46184</x:v>
      </x:c>
      <x:c r="F120" s="86" t="n">
        <x:v>46189</x:v>
      </x:c>
      <x:c r="G120" s="86" t="n">
        <x:v>46195</x:v>
      </x:c>
      <x:c r="H120" s="85" t="str">
        <x:v>Completed</x:v>
      </x:c>
      <x:c r="I120" s="85" t="str">
        <x:v>Medium</x:v>
      </x:c>
      <x:c r="J120" s="87" t="n">
        <x:v>100</x:v>
      </x:c>
      <x:c r="K120" s="85" t="str">
        <x:v>Approval Delay</x:v>
      </x:c>
      <x:c r="L120" s="86" t="n">
        <x:v>46194</x:v>
      </x:c>
      <x:c r="M120" s="85" t="str">
        <x:v>Team Lead E</x:v>
      </x:c>
      <x:c r="N120" s="88" t="n">
        <x:f>IF(AND(H120&lt;&gt;"Completed",F120&lt;'Summary'!$B$3),'Summary'!$B$3-F120,0)</x:f>
        <x:v>0</x:v>
      </x:c>
      <x:c r="O120" s="88" t="n">
        <x:f>'Summary'!$B$3-L120</x:f>
        <x:v>72</x:v>
      </x:c>
      <x:c r="P120" s="88" t="n">
        <x:f>IF(AND(H120="Completed",G120&lt;&gt;"",F120&lt;&gt;""),G120-F120,"")</x:f>
        <x:v>6</x:v>
      </x:c>
      <x:c r="Q120" s="89" t="str">
        <x:f>IF(OR(H120="On Hold",AND(I120="High",N120&gt;7,H120&lt;&gt;"Completed")),"Critical",IF(OR(AND(N120&gt;=1,N120&lt;=7,H120&lt;&gt;"Completed"),AND(O120&gt;7,H120&lt;&gt;"Completed")),"Warning","Normal"))</x:f>
        <x:v>Normal</x:v>
      </x:c>
      <x:c r="R120" s="90" t="str">
        <x:f>IF(AND(I120="High",N120&gt;7,H120&lt;&gt;"Completed"),"High-priority activity overdue by more than 7 days",IF(H120="On Hold","Activity is on hold",IF(AND(O120&gt;7,H120&lt;&gt;"Completed"),"Open activity has a stale update (&gt;7 days)",IF(AND(N120&gt;=1,N120&lt;=7,H120&lt;&gt;"Completed"),"Open activity overdue by 1-7 days",""))))</x:f>
      </x:c>
    </x:row>
    <x:row r="121">
      <x:c r="A121" s="84" t="str">
        <x:v>ACT-0117</x:v>
      </x:c>
      <x:c r="B121" s="85" t="str">
        <x:v>Procurement</x:v>
      </x:c>
      <x:c r="C121" s="85" t="str">
        <x:v>PROC-A</x:v>
      </x:c>
      <x:c r="D121" s="85" t="str">
        <x:v>Material Status Update</x:v>
      </x:c>
      <x:c r="E121" s="86" t="n">
        <x:v>46189</x:v>
      </x:c>
      <x:c r="F121" s="86" t="n">
        <x:v>46205</x:v>
      </x:c>
      <x:c r="G121" s="86" t="n">
        <x:v>46213</x:v>
      </x:c>
      <x:c r="H121" s="85" t="str">
        <x:v>Completed</x:v>
      </x:c>
      <x:c r="I121" s="85" t="str">
        <x:v>Medium</x:v>
      </x:c>
      <x:c r="J121" s="87" t="n">
        <x:v>100</x:v>
      </x:c>
      <x:c r="K121" s="85" t="str">
        <x:v>Access Constraint</x:v>
      </x:c>
      <x:c r="L121" s="86" t="n">
        <x:v>46213</x:v>
      </x:c>
      <x:c r="M121" s="85" t="str">
        <x:v>Team Lead E</x:v>
      </x:c>
      <x:c r="N121" s="88" t="n">
        <x:f>IF(AND(H121&lt;&gt;"Completed",F121&lt;'Summary'!$B$3),'Summary'!$B$3-F121,0)</x:f>
        <x:v>0</x:v>
      </x:c>
      <x:c r="O121" s="88" t="n">
        <x:f>'Summary'!$B$3-L121</x:f>
        <x:v>53</x:v>
      </x:c>
      <x:c r="P121" s="88" t="n">
        <x:f>IF(AND(H121="Completed",G121&lt;&gt;"",F121&lt;&gt;""),G121-F121,"")</x:f>
        <x:v>8</x:v>
      </x:c>
      <x:c r="Q121" s="89" t="str">
        <x:f>IF(OR(H121="On Hold",AND(I121="High",N121&gt;7,H121&lt;&gt;"Completed")),"Critical",IF(OR(AND(N121&gt;=1,N121&lt;=7,H121&lt;&gt;"Completed"),AND(O121&gt;7,H121&lt;&gt;"Completed")),"Warning","Normal"))</x:f>
        <x:v>Normal</x:v>
      </x:c>
      <x:c r="R121" s="90" t="str">
        <x:f>IF(AND(I121="High",N121&gt;7,H121&lt;&gt;"Completed"),"High-priority activity overdue by more than 7 days",IF(H121="On Hold","Activity is on hold",IF(AND(O121&gt;7,H121&lt;&gt;"Completed"),"Open activity has a stale update (&gt;7 days)",IF(AND(N121&gt;=1,N121&lt;=7,H121&lt;&gt;"Completed"),"Open activity overdue by 1-7 days",""))))</x:f>
      </x:c>
    </x:row>
    <x:row r="122">
      <x:c r="A122" s="84" t="str">
        <x:v>ACT-0118</x:v>
      </x:c>
      <x:c r="B122" s="85" t="str">
        <x:v>QA/QC</x:v>
      </x:c>
      <x:c r="C122" s="85" t="str">
        <x:v>QA-A</x:v>
      </x:c>
      <x:c r="D122" s="85" t="str">
        <x:v>Inspection Request</x:v>
      </x:c>
      <x:c r="E122" s="86" t="n">
        <x:v>46193</x:v>
      </x:c>
      <x:c r="F122" s="86" t="n">
        <x:v>46217</x:v>
      </x:c>
      <x:c r="G122" s="86" t="n">
        <x:v>46223</x:v>
      </x:c>
      <x:c r="H122" s="85" t="str">
        <x:v>Completed</x:v>
      </x:c>
      <x:c r="I122" s="85" t="str">
        <x:v>Low</x:v>
      </x:c>
      <x:c r="J122" s="87" t="n">
        <x:v>100</x:v>
      </x:c>
      <x:c r="K122" s="85" t="str">
        <x:v>None</x:v>
      </x:c>
      <x:c r="L122" s="86" t="n">
        <x:v>46219</x:v>
      </x:c>
      <x:c r="M122" s="85" t="str">
        <x:v>Team Lead C</x:v>
      </x:c>
      <x:c r="N122" s="88" t="n">
        <x:f>IF(AND(H122&lt;&gt;"Completed",F122&lt;'Summary'!$B$3),'Summary'!$B$3-F122,0)</x:f>
        <x:v>0</x:v>
      </x:c>
      <x:c r="O122" s="88" t="n">
        <x:f>'Summary'!$B$3-L122</x:f>
        <x:v>47</x:v>
      </x:c>
      <x:c r="P122" s="88" t="n">
        <x:f>IF(AND(H122="Completed",G122&lt;&gt;"",F122&lt;&gt;""),G122-F122,"")</x:f>
        <x:v>6</x:v>
      </x:c>
      <x:c r="Q122" s="89" t="str">
        <x:f>IF(OR(H122="On Hold",AND(I122="High",N122&gt;7,H122&lt;&gt;"Completed")),"Critical",IF(OR(AND(N122&gt;=1,N122&lt;=7,H122&lt;&gt;"Completed"),AND(O122&gt;7,H122&lt;&gt;"Completed")),"Warning","Normal"))</x:f>
        <x:v>Normal</x:v>
      </x:c>
      <x:c r="R122" s="90" t="str">
        <x:f>IF(AND(I122="High",N122&gt;7,H122&lt;&gt;"Completed"),"High-priority activity overdue by more than 7 days",IF(H122="On Hold","Activity is on hold",IF(AND(O122&gt;7,H122&lt;&gt;"Completed"),"Open activity has a stale update (&gt;7 days)",IF(AND(N122&gt;=1,N122&lt;=7,H122&lt;&gt;"Completed"),"Open activity overdue by 1-7 days",""))))</x:f>
      </x:c>
    </x:row>
    <x:row r="123">
      <x:c r="A123" s="84" t="str">
        <x:v>ACT-0119</x:v>
      </x:c>
      <x:c r="B123" s="85" t="str">
        <x:v>Construction</x:v>
      </x:c>
      <x:c r="C123" s="85" t="str">
        <x:v>CONST-B</x:v>
      </x:c>
      <x:c r="D123" s="85" t="str">
        <x:v>Field Installation</x:v>
      </x:c>
      <x:c r="E123" s="86" t="n">
        <x:v>46251</x:v>
      </x:c>
      <x:c r="F123" s="86" t="n">
        <x:v>46275</x:v>
      </x:c>
      <x:c r="G123" s="86"/>
      <x:c r="H123" s="85" t="str">
        <x:v>Not Started</x:v>
      </x:c>
      <x:c r="I123" s="85" t="str">
        <x:v>Medium</x:v>
      </x:c>
      <x:c r="J123" s="87" t="n">
        <x:v>0</x:v>
      </x:c>
      <x:c r="K123" s="85" t="str">
        <x:v>Rework</x:v>
      </x:c>
      <x:c r="L123" s="86" t="n">
        <x:v>46255</x:v>
      </x:c>
      <x:c r="M123" s="85" t="str">
        <x:v>Team Lead C</x:v>
      </x:c>
      <x:c r="N123" s="88" t="n">
        <x:f>IF(AND(H123&lt;&gt;"Completed",F123&lt;'Summary'!$B$3),'Summary'!$B$3-F123,0)</x:f>
        <x:v>0</x:v>
      </x:c>
      <x:c r="O123" s="88" t="n">
        <x:f>'Summary'!$B$3-L123</x:f>
        <x:v>11</x:v>
      </x:c>
      <x:c r="P123" s="88" t="str">
        <x:f>IF(AND(H123="Completed",G123&lt;&gt;"",F123&lt;&gt;""),G123-F123,"")</x:f>
      </x:c>
      <x:c r="Q123" s="89" t="str">
        <x:f>IF(OR(H123="On Hold",AND(I123="High",N123&gt;7,H123&lt;&gt;"Completed")),"Critical",IF(OR(AND(N123&gt;=1,N123&lt;=7,H123&lt;&gt;"Completed"),AND(O123&gt;7,H123&lt;&gt;"Completed")),"Warning","Normal"))</x:f>
        <x:v>Warning</x:v>
      </x:c>
      <x:c r="R123" s="90" t="str">
        <x:f>IF(AND(I123="High",N123&gt;7,H123&lt;&gt;"Completed"),"High-priority activity overdue by more than 7 days",IF(H123="On Hold","Activity is on hold",IF(AND(O123&gt;7,H123&lt;&gt;"Completed"),"Open activity has a stale update (&gt;7 days)",IF(AND(N123&gt;=1,N123&lt;=7,H123&lt;&gt;"Completed"),"Open activity overdue by 1-7 days",""))))</x:f>
        <x:v>Open activity has a stale update (&gt;7 days)</x:v>
      </x:c>
    </x:row>
    <x:row r="124">
      <x:c r="A124" s="84" t="str">
        <x:v>ACT-0120</x:v>
      </x:c>
      <x:c r="B124" s="85" t="str">
        <x:v>Procurement</x:v>
      </x:c>
      <x:c r="C124" s="85" t="str">
        <x:v>PROC-A</x:v>
      </x:c>
      <x:c r="D124" s="85" t="str">
        <x:v>Material Delivery</x:v>
      </x:c>
      <x:c r="E124" s="86" t="n">
        <x:v>46197</x:v>
      </x:c>
      <x:c r="F124" s="86" t="n">
        <x:v>46204</x:v>
      </x:c>
      <x:c r="G124" s="86" t="n">
        <x:v>46203</x:v>
      </x:c>
      <x:c r="H124" s="85" t="str">
        <x:v>Completed</x:v>
      </x:c>
      <x:c r="I124" s="85" t="str">
        <x:v>Medium</x:v>
      </x:c>
      <x:c r="J124" s="87" t="n">
        <x:v>100</x:v>
      </x:c>
      <x:c r="K124" s="85" t="str">
        <x:v>None</x:v>
      </x:c>
      <x:c r="L124" s="86" t="n">
        <x:v>46203</x:v>
      </x:c>
      <x:c r="M124" s="85" t="str">
        <x:v>Team Lead E</x:v>
      </x:c>
      <x:c r="N124" s="88" t="n">
        <x:f>IF(AND(H124&lt;&gt;"Completed",F124&lt;'Summary'!$B$3),'Summary'!$B$3-F124,0)</x:f>
        <x:v>0</x:v>
      </x:c>
      <x:c r="O124" s="88" t="n">
        <x:f>'Summary'!$B$3-L124</x:f>
        <x:v>63</x:v>
      </x:c>
      <x:c r="P124" s="88" t="n">
        <x:f>IF(AND(H124="Completed",G124&lt;&gt;"",F124&lt;&gt;""),G124-F124,"")</x:f>
        <x:v>-1</x:v>
      </x:c>
      <x:c r="Q124" s="89" t="str">
        <x:f>IF(OR(H124="On Hold",AND(I124="High",N124&gt;7,H124&lt;&gt;"Completed")),"Critical",IF(OR(AND(N124&gt;=1,N124&lt;=7,H124&lt;&gt;"Completed"),AND(O124&gt;7,H124&lt;&gt;"Completed")),"Warning","Normal"))</x:f>
        <x:v>Normal</x:v>
      </x:c>
      <x:c r="R124" s="90" t="str">
        <x:f>IF(AND(I124="High",N124&gt;7,H124&lt;&gt;"Completed"),"High-priority activity overdue by more than 7 days",IF(H124="On Hold","Activity is on hold",IF(AND(O124&gt;7,H124&lt;&gt;"Completed"),"Open activity has a stale update (&gt;7 days)",IF(AND(N124&gt;=1,N124&lt;=7,H124&lt;&gt;"Completed"),"Open activity overdue by 1-7 days",""))))</x:f>
      </x:c>
    </x:row>
    <x:row r="125">
      <x:c r="A125" s="84" t="str">
        <x:v>ACT-0121</x:v>
      </x:c>
      <x:c r="B125" s="85" t="str">
        <x:v>Engineering</x:v>
      </x:c>
      <x:c r="C125" s="85" t="str">
        <x:v>ENG-B</x:v>
      </x:c>
      <x:c r="D125" s="85" t="str">
        <x:v>Design Update</x:v>
      </x:c>
      <x:c r="E125" s="86" t="n">
        <x:v>46217</x:v>
      </x:c>
      <x:c r="F125" s="86" t="n">
        <x:v>46225</x:v>
      </x:c>
      <x:c r="G125" s="86" t="n">
        <x:v>46238</x:v>
      </x:c>
      <x:c r="H125" s="85" t="str">
        <x:v>Completed</x:v>
      </x:c>
      <x:c r="I125" s="85" t="str">
        <x:v>Medium</x:v>
      </x:c>
      <x:c r="J125" s="87" t="n">
        <x:v>100</x:v>
      </x:c>
      <x:c r="K125" s="85" t="str">
        <x:v>None</x:v>
      </x:c>
      <x:c r="L125" s="86" t="n">
        <x:v>46234</x:v>
      </x:c>
      <x:c r="M125" s="85" t="str">
        <x:v>Team Lead A</x:v>
      </x:c>
      <x:c r="N125" s="88" t="n">
        <x:f>IF(AND(H125&lt;&gt;"Completed",F125&lt;'Summary'!$B$3),'Summary'!$B$3-F125,0)</x:f>
        <x:v>0</x:v>
      </x:c>
      <x:c r="O125" s="88" t="n">
        <x:f>'Summary'!$B$3-L125</x:f>
        <x:v>32</x:v>
      </x:c>
      <x:c r="P125" s="88" t="n">
        <x:f>IF(AND(H125="Completed",G125&lt;&gt;"",F125&lt;&gt;""),G125-F125,"")</x:f>
        <x:v>13</x:v>
      </x:c>
      <x:c r="Q125" s="89" t="str">
        <x:f>IF(OR(H125="On Hold",AND(I125="High",N125&gt;7,H125&lt;&gt;"Completed")),"Critical",IF(OR(AND(N125&gt;=1,N125&lt;=7,H125&lt;&gt;"Completed"),AND(O125&gt;7,H125&lt;&gt;"Completed")),"Warning","Normal"))</x:f>
        <x:v>Normal</x:v>
      </x:c>
      <x:c r="R125" s="90" t="str">
        <x:f>IF(AND(I125="High",N125&gt;7,H125&lt;&gt;"Completed"),"High-priority activity overdue by more than 7 days",IF(H125="On Hold","Activity is on hold",IF(AND(O125&gt;7,H125&lt;&gt;"Completed"),"Open activity has a stale update (&gt;7 days)",IF(AND(N125&gt;=1,N125&lt;=7,H125&lt;&gt;"Completed"),"Open activity overdue by 1-7 days",""))))</x:f>
      </x:c>
    </x:row>
    <x:row r="126">
      <x:c r="A126" s="84" t="str">
        <x:v>ACT-0122</x:v>
      </x:c>
      <x:c r="B126" s="85" t="str">
        <x:v>Engineering</x:v>
      </x:c>
      <x:c r="C126" s="85" t="str">
        <x:v>ENG-A</x:v>
      </x:c>
      <x:c r="D126" s="85" t="str">
        <x:v>Drawing Review</x:v>
      </x:c>
      <x:c r="E126" s="86" t="n">
        <x:v>46208</x:v>
      </x:c>
      <x:c r="F126" s="86" t="n">
        <x:v>46225</x:v>
      </x:c>
      <x:c r="G126" s="86" t="n">
        <x:v>46234</x:v>
      </x:c>
      <x:c r="H126" s="85" t="str">
        <x:v>Completed</x:v>
      </x:c>
      <x:c r="I126" s="85" t="str">
        <x:v>Medium</x:v>
      </x:c>
      <x:c r="J126" s="87" t="n">
        <x:v>100</x:v>
      </x:c>
      <x:c r="K126" s="85" t="str">
        <x:v>None</x:v>
      </x:c>
      <x:c r="L126" s="86" t="n">
        <x:v>46231</x:v>
      </x:c>
      <x:c r="M126" s="85" t="str">
        <x:v>Team Lead E</x:v>
      </x:c>
      <x:c r="N126" s="88" t="n">
        <x:f>IF(AND(H126&lt;&gt;"Completed",F126&lt;'Summary'!$B$3),'Summary'!$B$3-F126,0)</x:f>
        <x:v>0</x:v>
      </x:c>
      <x:c r="O126" s="88" t="n">
        <x:f>'Summary'!$B$3-L126</x:f>
        <x:v>35</x:v>
      </x:c>
      <x:c r="P126" s="88" t="n">
        <x:f>IF(AND(H126="Completed",G126&lt;&gt;"",F126&lt;&gt;""),G126-F126,"")</x:f>
        <x:v>9</x:v>
      </x:c>
      <x:c r="Q126" s="89" t="str">
        <x:f>IF(OR(H126="On Hold",AND(I126="High",N126&gt;7,H126&lt;&gt;"Completed")),"Critical",IF(OR(AND(N126&gt;=1,N126&lt;=7,H126&lt;&gt;"Completed"),AND(O126&gt;7,H126&lt;&gt;"Completed")),"Warning","Normal"))</x:f>
        <x:v>Normal</x:v>
      </x:c>
      <x:c r="R126" s="90" t="str">
        <x:f>IF(AND(I126="High",N126&gt;7,H126&lt;&gt;"Completed"),"High-priority activity overdue by more than 7 days",IF(H126="On Hold","Activity is on hold",IF(AND(O126&gt;7,H126&lt;&gt;"Completed"),"Open activity has a stale update (&gt;7 days)",IF(AND(N126&gt;=1,N126&lt;=7,H126&lt;&gt;"Completed"),"Open activity overdue by 1-7 days",""))))</x:f>
      </x:c>
    </x:row>
    <x:row r="127">
      <x:c r="A127" s="84" t="str">
        <x:v>ACT-0123</x:v>
      </x:c>
      <x:c r="B127" s="85" t="str">
        <x:v>Engineering</x:v>
      </x:c>
      <x:c r="C127" s="85" t="str">
        <x:v>ENG-B</x:v>
      </x:c>
      <x:c r="D127" s="85" t="str">
        <x:v>Drawing Review</x:v>
      </x:c>
      <x:c r="E127" s="86" t="n">
        <x:v>46210</x:v>
      </x:c>
      <x:c r="F127" s="86" t="n">
        <x:v>46234</x:v>
      </x:c>
      <x:c r="G127" s="86" t="n">
        <x:v>46238</x:v>
      </x:c>
      <x:c r="H127" s="85" t="str">
        <x:v>Completed</x:v>
      </x:c>
      <x:c r="I127" s="85" t="str">
        <x:v>Medium</x:v>
      </x:c>
      <x:c r="J127" s="87" t="n">
        <x:v>100</x:v>
      </x:c>
      <x:c r="K127" s="85" t="str">
        <x:v>None</x:v>
      </x:c>
      <x:c r="L127" s="86" t="n">
        <x:v>46238</x:v>
      </x:c>
      <x:c r="M127" s="85" t="str">
        <x:v>Team Lead E</x:v>
      </x:c>
      <x:c r="N127" s="88" t="n">
        <x:f>IF(AND(H127&lt;&gt;"Completed",F127&lt;'Summary'!$B$3),'Summary'!$B$3-F127,0)</x:f>
        <x:v>0</x:v>
      </x:c>
      <x:c r="O127" s="88" t="n">
        <x:f>'Summary'!$B$3-L127</x:f>
        <x:v>28</x:v>
      </x:c>
      <x:c r="P127" s="88" t="n">
        <x:f>IF(AND(H127="Completed",G127&lt;&gt;"",F127&lt;&gt;""),G127-F127,"")</x:f>
        <x:v>4</x:v>
      </x:c>
      <x:c r="Q127" s="89" t="str">
        <x:f>IF(OR(H127="On Hold",AND(I127="High",N127&gt;7,H127&lt;&gt;"Completed")),"Critical",IF(OR(AND(N127&gt;=1,N127&lt;=7,H127&lt;&gt;"Completed"),AND(O127&gt;7,H127&lt;&gt;"Completed")),"Warning","Normal"))</x:f>
        <x:v>Normal</x:v>
      </x:c>
      <x:c r="R127" s="90" t="str">
        <x:f>IF(AND(I127="High",N127&gt;7,H127&lt;&gt;"Completed"),"High-priority activity overdue by more than 7 days",IF(H127="On Hold","Activity is on hold",IF(AND(O127&gt;7,H127&lt;&gt;"Completed"),"Open activity has a stale update (&gt;7 days)",IF(AND(N127&gt;=1,N127&lt;=7,H127&lt;&gt;"Completed"),"Open activity overdue by 1-7 days",""))))</x:f>
      </x:c>
    </x:row>
    <x:row r="128">
      <x:c r="A128" s="84" t="str">
        <x:v>ACT-0124</x:v>
      </x:c>
      <x:c r="B128" s="85" t="str">
        <x:v>Engineering</x:v>
      </x:c>
      <x:c r="C128" s="85" t="str">
        <x:v>ENG-A</x:v>
      </x:c>
      <x:c r="D128" s="85" t="str">
        <x:v>Technical Query</x:v>
      </x:c>
      <x:c r="E128" s="86" t="n">
        <x:v>46201</x:v>
      </x:c>
      <x:c r="F128" s="86" t="n">
        <x:v>46228</x:v>
      </x:c>
      <x:c r="G128" s="86" t="n">
        <x:v>46233</x:v>
      </x:c>
      <x:c r="H128" s="85" t="str">
        <x:v>Completed</x:v>
      </x:c>
      <x:c r="I128" s="85" t="str">
        <x:v>Medium</x:v>
      </x:c>
      <x:c r="J128" s="87" t="n">
        <x:v>100</x:v>
      </x:c>
      <x:c r="K128" s="85" t="str">
        <x:v>None</x:v>
      </x:c>
      <x:c r="L128" s="86" t="n">
        <x:v>46233</x:v>
      </x:c>
      <x:c r="M128" s="85" t="str">
        <x:v>Team Lead F</x:v>
      </x:c>
      <x:c r="N128" s="88" t="n">
        <x:f>IF(AND(H128&lt;&gt;"Completed",F128&lt;'Summary'!$B$3),'Summary'!$B$3-F128,0)</x:f>
        <x:v>0</x:v>
      </x:c>
      <x:c r="O128" s="88" t="n">
        <x:f>'Summary'!$B$3-L128</x:f>
        <x:v>33</x:v>
      </x:c>
      <x:c r="P128" s="88" t="n">
        <x:f>IF(AND(H128="Completed",G128&lt;&gt;"",F128&lt;&gt;""),G128-F128,"")</x:f>
        <x:v>5</x:v>
      </x:c>
      <x:c r="Q128" s="89" t="str">
        <x:f>IF(OR(H128="On Hold",AND(I128="High",N128&gt;7,H128&lt;&gt;"Completed")),"Critical",IF(OR(AND(N128&gt;=1,N128&lt;=7,H128&lt;&gt;"Completed"),AND(O128&gt;7,H128&lt;&gt;"Completed")),"Warning","Normal"))</x:f>
        <x:v>Normal</x:v>
      </x:c>
      <x:c r="R128" s="90" t="str">
        <x:f>IF(AND(I128="High",N128&gt;7,H128&lt;&gt;"Completed"),"High-priority activity overdue by more than 7 days",IF(H128="On Hold","Activity is on hold",IF(AND(O128&gt;7,H128&lt;&gt;"Completed"),"Open activity has a stale update (&gt;7 days)",IF(AND(N128&gt;=1,N128&lt;=7,H128&lt;&gt;"Completed"),"Open activity overdue by 1-7 days",""))))</x:f>
      </x:c>
    </x:row>
    <x:row r="129">
      <x:c r="A129" s="84" t="str">
        <x:v>ACT-0125</x:v>
      </x:c>
      <x:c r="B129" s="85" t="str">
        <x:v>QA/QC</x:v>
      </x:c>
      <x:c r="C129" s="85" t="str">
        <x:v>QA-A</x:v>
      </x:c>
      <x:c r="D129" s="85" t="str">
        <x:v>Quality Review</x:v>
      </x:c>
      <x:c r="E129" s="86" t="n">
        <x:v>46242</x:v>
      </x:c>
      <x:c r="F129" s="86" t="n">
        <x:v>46267</x:v>
      </x:c>
      <x:c r="G129" s="86"/>
      <x:c r="H129" s="85" t="str">
        <x:v>In Progress</x:v>
      </x:c>
      <x:c r="I129" s="85" t="str">
        <x:v>Medium</x:v>
      </x:c>
      <x:c r="J129" s="87" t="n">
        <x:v>85</x:v>
      </x:c>
      <x:c r="K129" s="85" t="str">
        <x:v>Approval Delay</x:v>
      </x:c>
      <x:c r="L129" s="86" t="n">
        <x:v>46254</x:v>
      </x:c>
      <x:c r="M129" s="85" t="str">
        <x:v>Team Lead D</x:v>
      </x:c>
      <x:c r="N129" s="88" t="n">
        <x:f>IF(AND(H129&lt;&gt;"Completed",F129&lt;'Summary'!$B$3),'Summary'!$B$3-F129,0)</x:f>
        <x:v>0</x:v>
      </x:c>
      <x:c r="O129" s="88" t="n">
        <x:f>'Summary'!$B$3-L129</x:f>
        <x:v>12</x:v>
      </x:c>
      <x:c r="P129" s="88" t="str">
        <x:f>IF(AND(H129="Completed",G129&lt;&gt;"",F129&lt;&gt;""),G129-F129,"")</x:f>
      </x:c>
      <x:c r="Q129" s="89" t="str">
        <x:f>IF(OR(H129="On Hold",AND(I129="High",N129&gt;7,H129&lt;&gt;"Completed")),"Critical",IF(OR(AND(N129&gt;=1,N129&lt;=7,H129&lt;&gt;"Completed"),AND(O129&gt;7,H129&lt;&gt;"Completed")),"Warning","Normal"))</x:f>
        <x:v>Warning</x:v>
      </x:c>
      <x:c r="R129" s="90" t="str">
        <x:f>IF(AND(I129="High",N129&gt;7,H129&lt;&gt;"Completed"),"High-priority activity overdue by more than 7 days",IF(H129="On Hold","Activity is on hold",IF(AND(O129&gt;7,H129&lt;&gt;"Completed"),"Open activity has a stale update (&gt;7 days)",IF(AND(N129&gt;=1,N129&lt;=7,H129&lt;&gt;"Completed"),"Open activity overdue by 1-7 days",""))))</x:f>
        <x:v>Open activity has a stale update (&gt;7 days)</x:v>
      </x:c>
    </x:row>
    <x:row r="130">
      <x:c r="A130" s="84" t="str">
        <x:v>ACT-0126</x:v>
      </x:c>
      <x:c r="B130" s="85" t="str">
        <x:v>Procurement</x:v>
      </x:c>
      <x:c r="C130" s="85" t="str">
        <x:v>PROC-A</x:v>
      </x:c>
      <x:c r="D130" s="85" t="str">
        <x:v>Vendor Follow-up</x:v>
      </x:c>
      <x:c r="E130" s="86" t="n">
        <x:v>46176</x:v>
      </x:c>
      <x:c r="F130" s="86" t="n">
        <x:v>46193</x:v>
      </x:c>
      <x:c r="G130" s="86"/>
      <x:c r="H130" s="85" t="str">
        <x:v>In Progress</x:v>
      </x:c>
      <x:c r="I130" s="85" t="str">
        <x:v>Low</x:v>
      </x:c>
      <x:c r="J130" s="87" t="n">
        <x:v>80</x:v>
      </x:c>
      <x:c r="K130" s="85" t="str">
        <x:v>Manpower</x:v>
      </x:c>
      <x:c r="L130" s="86" t="n">
        <x:v>46260</x:v>
      </x:c>
      <x:c r="M130" s="85" t="str">
        <x:v>Team Lead F</x:v>
      </x:c>
      <x:c r="N130" s="88" t="n">
        <x:f>IF(AND(H130&lt;&gt;"Completed",F130&lt;'Summary'!$B$3),'Summary'!$B$3-F130,0)</x:f>
        <x:v>73</x:v>
      </x:c>
      <x:c r="O130" s="88" t="n">
        <x:f>'Summary'!$B$3-L130</x:f>
        <x:v>6</x:v>
      </x:c>
      <x:c r="P130" s="88" t="str">
        <x:f>IF(AND(H130="Completed",G130&lt;&gt;"",F130&lt;&gt;""),G130-F130,"")</x:f>
      </x:c>
      <x:c r="Q130" s="89" t="str">
        <x:f>IF(OR(H130="On Hold",AND(I130="High",N130&gt;7,H130&lt;&gt;"Completed")),"Critical",IF(OR(AND(N130&gt;=1,N130&lt;=7,H130&lt;&gt;"Completed"),AND(O130&gt;7,H130&lt;&gt;"Completed")),"Warning","Normal"))</x:f>
        <x:v>Normal</x:v>
      </x:c>
      <x:c r="R130" s="90" t="str">
        <x:f>IF(AND(I130="High",N130&gt;7,H130&lt;&gt;"Completed"),"High-priority activity overdue by more than 7 days",IF(H130="On Hold","Activity is on hold",IF(AND(O130&gt;7,H130&lt;&gt;"Completed"),"Open activity has a stale update (&gt;7 days)",IF(AND(N130&gt;=1,N130&lt;=7,H130&lt;&gt;"Completed"),"Open activity overdue by 1-7 days",""))))</x:f>
      </x:c>
    </x:row>
    <x:row r="131">
      <x:c r="A131" s="84" t="str">
        <x:v>ACT-0127</x:v>
      </x:c>
      <x:c r="B131" s="85" t="str">
        <x:v>Construction</x:v>
      </x:c>
      <x:c r="C131" s="85" t="str">
        <x:v>CONST-B</x:v>
      </x:c>
      <x:c r="D131" s="85" t="str">
        <x:v>Field Installation</x:v>
      </x:c>
      <x:c r="E131" s="86" t="n">
        <x:v>46225</x:v>
      </x:c>
      <x:c r="F131" s="86" t="n">
        <x:v>46228</x:v>
      </x:c>
      <x:c r="G131" s="86"/>
      <x:c r="H131" s="85" t="str">
        <x:v>On Hold</x:v>
      </x:c>
      <x:c r="I131" s="85" t="str">
        <x:v>High</x:v>
      </x:c>
      <x:c r="J131" s="87" t="n">
        <x:v>50</x:v>
      </x:c>
      <x:c r="K131" s="85" t="str">
        <x:v>Documentation</x:v>
      </x:c>
      <x:c r="L131" s="86" t="n">
        <x:v>46247</x:v>
      </x:c>
      <x:c r="M131" s="85" t="str">
        <x:v>Team Lead C</x:v>
      </x:c>
      <x:c r="N131" s="88" t="n">
        <x:f>IF(AND(H131&lt;&gt;"Completed",F131&lt;'Summary'!$B$3),'Summary'!$B$3-F131,0)</x:f>
        <x:v>38</x:v>
      </x:c>
      <x:c r="O131" s="88" t="n">
        <x:f>'Summary'!$B$3-L131</x:f>
        <x:v>19</x:v>
      </x:c>
      <x:c r="P131" s="88" t="str">
        <x:f>IF(AND(H131="Completed",G131&lt;&gt;"",F131&lt;&gt;""),G131-F131,"")</x:f>
      </x:c>
      <x:c r="Q131" s="89" t="str">
        <x:f>IF(OR(H131="On Hold",AND(I131="High",N131&gt;7,H131&lt;&gt;"Completed")),"Critical",IF(OR(AND(N131&gt;=1,N131&lt;=7,H131&lt;&gt;"Completed"),AND(O131&gt;7,H131&lt;&gt;"Completed")),"Warning","Normal"))</x:f>
        <x:v>Critical</x:v>
      </x:c>
      <x:c r="R131" s="90" t="str">
        <x:f>IF(AND(I131="High",N131&gt;7,H131&lt;&gt;"Completed"),"High-priority activity overdue by more than 7 days",IF(H131="On Hold","Activity is on hold",IF(AND(O131&gt;7,H131&lt;&gt;"Completed"),"Open activity has a stale update (&gt;7 days)",IF(AND(N131&gt;=1,N131&lt;=7,H131&lt;&gt;"Completed"),"Open activity overdue by 1-7 days",""))))</x:f>
        <x:v>High-priority activity overdue by more than 7 days</x:v>
      </x:c>
    </x:row>
    <x:row r="132">
      <x:c r="A132" s="84" t="str">
        <x:v>ACT-0128</x:v>
      </x:c>
      <x:c r="B132" s="85" t="str">
        <x:v>Engineering</x:v>
      </x:c>
      <x:c r="C132" s="85" t="str">
        <x:v>ENG-A</x:v>
      </x:c>
      <x:c r="D132" s="85" t="str">
        <x:v>RFI Closure</x:v>
      </x:c>
      <x:c r="E132" s="86" t="n">
        <x:v>46229</x:v>
      </x:c>
      <x:c r="F132" s="86" t="n">
        <x:v>46250</x:v>
      </x:c>
      <x:c r="G132" s="86" t="n">
        <x:v>46254</x:v>
      </x:c>
      <x:c r="H132" s="85" t="str">
        <x:v>Completed</x:v>
      </x:c>
      <x:c r="I132" s="85" t="str">
        <x:v>High</x:v>
      </x:c>
      <x:c r="J132" s="87" t="n">
        <x:v>100</x:v>
      </x:c>
      <x:c r="K132" s="85" t="str">
        <x:v>None</x:v>
      </x:c>
      <x:c r="L132" s="86" t="n">
        <x:v>46252</x:v>
      </x:c>
      <x:c r="M132" s="85" t="str">
        <x:v>Team Lead B</x:v>
      </x:c>
      <x:c r="N132" s="88" t="n">
        <x:f>IF(AND(H132&lt;&gt;"Completed",F132&lt;'Summary'!$B$3),'Summary'!$B$3-F132,0)</x:f>
        <x:v>0</x:v>
      </x:c>
      <x:c r="O132" s="88" t="n">
        <x:f>'Summary'!$B$3-L132</x:f>
        <x:v>14</x:v>
      </x:c>
      <x:c r="P132" s="88" t="n">
        <x:f>IF(AND(H132="Completed",G132&lt;&gt;"",F132&lt;&gt;""),G132-F132,"")</x:f>
        <x:v>4</x:v>
      </x:c>
      <x:c r="Q132" s="89" t="str">
        <x:f>IF(OR(H132="On Hold",AND(I132="High",N132&gt;7,H132&lt;&gt;"Completed")),"Critical",IF(OR(AND(N132&gt;=1,N132&lt;=7,H132&lt;&gt;"Completed"),AND(O132&gt;7,H132&lt;&gt;"Completed")),"Warning","Normal"))</x:f>
        <x:v>Normal</x:v>
      </x:c>
      <x:c r="R132" s="90" t="str">
        <x:f>IF(AND(I132="High",N132&gt;7,H132&lt;&gt;"Completed"),"High-priority activity overdue by more than 7 days",IF(H132="On Hold","Activity is on hold",IF(AND(O132&gt;7,H132&lt;&gt;"Completed"),"Open activity has a stale update (&gt;7 days)",IF(AND(N132&gt;=1,N132&lt;=7,H132&lt;&gt;"Completed"),"Open activity overdue by 1-7 days",""))))</x:f>
      </x:c>
    </x:row>
    <x:row r="133">
      <x:c r="A133" s="84" t="str">
        <x:v>ACT-0129</x:v>
      </x:c>
      <x:c r="B133" s="85" t="str">
        <x:v>Engineering</x:v>
      </x:c>
      <x:c r="C133" s="85" t="str">
        <x:v>ENG-A</x:v>
      </x:c>
      <x:c r="D133" s="85" t="str">
        <x:v>RFI Closure</x:v>
      </x:c>
      <x:c r="E133" s="86" t="n">
        <x:v>46218</x:v>
      </x:c>
      <x:c r="F133" s="86" t="n">
        <x:v>46232</x:v>
      </x:c>
      <x:c r="G133" s="86"/>
      <x:c r="H133" s="85" t="str">
        <x:v>In Progress</x:v>
      </x:c>
      <x:c r="I133" s="85" t="str">
        <x:v>Low</x:v>
      </x:c>
      <x:c r="J133" s="87" t="n">
        <x:v>40</x:v>
      </x:c>
      <x:c r="K133" s="85" t="str">
        <x:v>None</x:v>
      </x:c>
      <x:c r="L133" s="86" t="n">
        <x:v>46263</x:v>
      </x:c>
      <x:c r="M133" s="85" t="str">
        <x:v>Team Lead C</x:v>
      </x:c>
      <x:c r="N133" s="88" t="n">
        <x:f>IF(AND(H133&lt;&gt;"Completed",F133&lt;'Summary'!$B$3),'Summary'!$B$3-F133,0)</x:f>
        <x:v>34</x:v>
      </x:c>
      <x:c r="O133" s="88" t="n">
        <x:f>'Summary'!$B$3-L133</x:f>
        <x:v>3</x:v>
      </x:c>
      <x:c r="P133" s="88" t="str">
        <x:f>IF(AND(H133="Completed",G133&lt;&gt;"",F133&lt;&gt;""),G133-F133,"")</x:f>
      </x:c>
      <x:c r="Q133" s="89" t="str">
        <x:f>IF(OR(H133="On Hold",AND(I133="High",N133&gt;7,H133&lt;&gt;"Completed")),"Critical",IF(OR(AND(N133&gt;=1,N133&lt;=7,H133&lt;&gt;"Completed"),AND(O133&gt;7,H133&lt;&gt;"Completed")),"Warning","Normal"))</x:f>
        <x:v>Normal</x:v>
      </x:c>
      <x:c r="R133" s="90" t="str">
        <x:f>IF(AND(I133="High",N133&gt;7,H133&lt;&gt;"Completed"),"High-priority activity overdue by more than 7 days",IF(H133="On Hold","Activity is on hold",IF(AND(O133&gt;7,H133&lt;&gt;"Completed"),"Open activity has a stale update (&gt;7 days)",IF(AND(N133&gt;=1,N133&lt;=7,H133&lt;&gt;"Completed"),"Open activity overdue by 1-7 days",""))))</x:f>
      </x:c>
    </x:row>
    <x:row r="134">
      <x:c r="A134" s="84" t="str">
        <x:v>ACT-0130</x:v>
      </x:c>
      <x:c r="B134" s="85" t="str">
        <x:v>Engineering</x:v>
      </x:c>
      <x:c r="C134" s="85" t="str">
        <x:v>ENG-A</x:v>
      </x:c>
      <x:c r="D134" s="85" t="str">
        <x:v>Drawing Review</x:v>
      </x:c>
      <x:c r="E134" s="86" t="n">
        <x:v>46196</x:v>
      </x:c>
      <x:c r="F134" s="86" t="n">
        <x:v>46223</x:v>
      </x:c>
      <x:c r="G134" s="86" t="n">
        <x:v>46236</x:v>
      </x:c>
      <x:c r="H134" s="85" t="str">
        <x:v>Completed</x:v>
      </x:c>
      <x:c r="I134" s="85" t="str">
        <x:v>Medium</x:v>
      </x:c>
      <x:c r="J134" s="87" t="n">
        <x:v>100</x:v>
      </x:c>
      <x:c r="K134" s="85" t="str">
        <x:v>None</x:v>
      </x:c>
      <x:c r="L134" s="86" t="n">
        <x:v>46232</x:v>
      </x:c>
      <x:c r="M134" s="85" t="str">
        <x:v>Team Lead E</x:v>
      </x:c>
      <x:c r="N134" s="88" t="n">
        <x:f>IF(AND(H134&lt;&gt;"Completed",F134&lt;'Summary'!$B$3),'Summary'!$B$3-F134,0)</x:f>
        <x:v>0</x:v>
      </x:c>
      <x:c r="O134" s="88" t="n">
        <x:f>'Summary'!$B$3-L134</x:f>
        <x:v>34</x:v>
      </x:c>
      <x:c r="P134" s="88" t="n">
        <x:f>IF(AND(H134="Completed",G134&lt;&gt;"",F134&lt;&gt;""),G134-F134,"")</x:f>
        <x:v>13</x:v>
      </x:c>
      <x:c r="Q134" s="89" t="str">
        <x:f>IF(OR(H134="On Hold",AND(I134="High",N134&gt;7,H134&lt;&gt;"Completed")),"Critical",IF(OR(AND(N134&gt;=1,N134&lt;=7,H134&lt;&gt;"Completed"),AND(O134&gt;7,H134&lt;&gt;"Completed")),"Warning","Normal"))</x:f>
        <x:v>Normal</x:v>
      </x:c>
      <x:c r="R134" s="90" t="str">
        <x:f>IF(AND(I134="High",N134&gt;7,H134&lt;&gt;"Completed"),"High-priority activity overdue by more than 7 days",IF(H134="On Hold","Activity is on hold",IF(AND(O134&gt;7,H134&lt;&gt;"Completed"),"Open activity has a stale update (&gt;7 days)",IF(AND(N134&gt;=1,N134&lt;=7,H134&lt;&gt;"Completed"),"Open activity overdue by 1-7 days",""))))</x:f>
      </x:c>
    </x:row>
    <x:row r="135">
      <x:c r="A135" s="84" t="str">
        <x:v>ACT-0131</x:v>
      </x:c>
      <x:c r="B135" s="85" t="str">
        <x:v>Construction</x:v>
      </x:c>
      <x:c r="C135" s="85" t="str">
        <x:v>CONST-B</x:v>
      </x:c>
      <x:c r="D135" s="85" t="str">
        <x:v>Progress Update</x:v>
      </x:c>
      <x:c r="E135" s="86" t="n">
        <x:v>46193</x:v>
      </x:c>
      <x:c r="F135" s="86" t="n">
        <x:v>46210</x:v>
      </x:c>
      <x:c r="G135" s="86" t="n">
        <x:v>46214</x:v>
      </x:c>
      <x:c r="H135" s="85" t="str">
        <x:v>Completed</x:v>
      </x:c>
      <x:c r="I135" s="85" t="str">
        <x:v>Medium</x:v>
      </x:c>
      <x:c r="J135" s="87" t="n">
        <x:v>100</x:v>
      </x:c>
      <x:c r="K135" s="85" t="str">
        <x:v>Approval Delay</x:v>
      </x:c>
      <x:c r="L135" s="86" t="n">
        <x:v>46212</x:v>
      </x:c>
      <x:c r="M135" s="85" t="str">
        <x:v>Team Lead C</x:v>
      </x:c>
      <x:c r="N135" s="88" t="n">
        <x:f>IF(AND(H135&lt;&gt;"Completed",F135&lt;'Summary'!$B$3),'Summary'!$B$3-F135,0)</x:f>
        <x:v>0</x:v>
      </x:c>
      <x:c r="O135" s="88" t="n">
        <x:f>'Summary'!$B$3-L135</x:f>
        <x:v>54</x:v>
      </x:c>
      <x:c r="P135" s="88" t="n">
        <x:f>IF(AND(H135="Completed",G135&lt;&gt;"",F135&lt;&gt;""),G135-F135,"")</x:f>
        <x:v>4</x:v>
      </x:c>
      <x:c r="Q135" s="89" t="str">
        <x:f>IF(OR(H135="On Hold",AND(I135="High",N135&gt;7,H135&lt;&gt;"Completed")),"Critical",IF(OR(AND(N135&gt;=1,N135&lt;=7,H135&lt;&gt;"Completed"),AND(O135&gt;7,H135&lt;&gt;"Completed")),"Warning","Normal"))</x:f>
        <x:v>Normal</x:v>
      </x:c>
      <x:c r="R135" s="90" t="str">
        <x:f>IF(AND(I135="High",N135&gt;7,H135&lt;&gt;"Completed"),"High-priority activity overdue by more than 7 days",IF(H135="On Hold","Activity is on hold",IF(AND(O135&gt;7,H135&lt;&gt;"Completed"),"Open activity has a stale update (&gt;7 days)",IF(AND(N135&gt;=1,N135&lt;=7,H135&lt;&gt;"Completed"),"Open activity overdue by 1-7 days",""))))</x:f>
      </x:c>
    </x:row>
    <x:row r="136">
      <x:c r="A136" s="84" t="str">
        <x:v>ACT-0132</x:v>
      </x:c>
      <x:c r="B136" s="85" t="str">
        <x:v>Construction</x:v>
      </x:c>
      <x:c r="C136" s="85" t="str">
        <x:v>CONST-B</x:v>
      </x:c>
      <x:c r="D136" s="85" t="str">
        <x:v>Site Preparation</x:v>
      </x:c>
      <x:c r="E136" s="86" t="n">
        <x:v>46231</x:v>
      </x:c>
      <x:c r="F136" s="86" t="n">
        <x:v>46235</x:v>
      </x:c>
      <x:c r="G136" s="86" t="n">
        <x:v>46232</x:v>
      </x:c>
      <x:c r="H136" s="85" t="str">
        <x:v>Completed</x:v>
      </x:c>
      <x:c r="I136" s="85" t="str">
        <x:v>Low</x:v>
      </x:c>
      <x:c r="J136" s="87" t="n">
        <x:v>100</x:v>
      </x:c>
      <x:c r="K136" s="85" t="str">
        <x:v>Approval Delay</x:v>
      </x:c>
      <x:c r="L136" s="86" t="n">
        <x:v>46232</x:v>
      </x:c>
      <x:c r="M136" s="85" t="str">
        <x:v>Team Lead E</x:v>
      </x:c>
      <x:c r="N136" s="88" t="n">
        <x:f>IF(AND(H136&lt;&gt;"Completed",F136&lt;'Summary'!$B$3),'Summary'!$B$3-F136,0)</x:f>
        <x:v>0</x:v>
      </x:c>
      <x:c r="O136" s="88" t="n">
        <x:f>'Summary'!$B$3-L136</x:f>
        <x:v>34</x:v>
      </x:c>
      <x:c r="P136" s="88" t="n">
        <x:f>IF(AND(H136="Completed",G136&lt;&gt;"",F136&lt;&gt;""),G136-F136,"")</x:f>
        <x:v>-3</x:v>
      </x:c>
      <x:c r="Q136" s="89" t="str">
        <x:f>IF(OR(H136="On Hold",AND(I136="High",N136&gt;7,H136&lt;&gt;"Completed")),"Critical",IF(OR(AND(N136&gt;=1,N136&lt;=7,H136&lt;&gt;"Completed"),AND(O136&gt;7,H136&lt;&gt;"Completed")),"Warning","Normal"))</x:f>
        <x:v>Normal</x:v>
      </x:c>
      <x:c r="R136" s="90" t="str">
        <x:f>IF(AND(I136="High",N136&gt;7,H136&lt;&gt;"Completed"),"High-priority activity overdue by more than 7 days",IF(H136="On Hold","Activity is on hold",IF(AND(O136&gt;7,H136&lt;&gt;"Completed"),"Open activity has a stale update (&gt;7 days)",IF(AND(N136&gt;=1,N136&lt;=7,H136&lt;&gt;"Completed"),"Open activity overdue by 1-7 days",""))))</x:f>
      </x:c>
    </x:row>
    <x:row r="137">
      <x:c r="A137" s="84" t="str">
        <x:v>ACT-0133</x:v>
      </x:c>
      <x:c r="B137" s="85" t="str">
        <x:v>QA/QC</x:v>
      </x:c>
      <x:c r="C137" s="85" t="str">
        <x:v>QA-A</x:v>
      </x:c>
      <x:c r="D137" s="85" t="str">
        <x:v>Quality Review</x:v>
      </x:c>
      <x:c r="E137" s="86" t="n">
        <x:v>46247</x:v>
      </x:c>
      <x:c r="F137" s="86" t="n">
        <x:v>46270</x:v>
      </x:c>
      <x:c r="G137" s="86"/>
      <x:c r="H137" s="85" t="str">
        <x:v>In Progress</x:v>
      </x:c>
      <x:c r="I137" s="85" t="str">
        <x:v>Medium</x:v>
      </x:c>
      <x:c r="J137" s="87" t="n">
        <x:v>75</x:v>
      </x:c>
      <x:c r="K137" s="85" t="str">
        <x:v>Access Constraint</x:v>
      </x:c>
      <x:c r="L137" s="86" t="n">
        <x:v>46264</x:v>
      </x:c>
      <x:c r="M137" s="85" t="str">
        <x:v>Team Lead D</x:v>
      </x:c>
      <x:c r="N137" s="88" t="n">
        <x:f>IF(AND(H137&lt;&gt;"Completed",F137&lt;'Summary'!$B$3),'Summary'!$B$3-F137,0)</x:f>
        <x:v>0</x:v>
      </x:c>
      <x:c r="O137" s="88" t="n">
        <x:f>'Summary'!$B$3-L137</x:f>
        <x:v>2</x:v>
      </x:c>
      <x:c r="P137" s="88" t="str">
        <x:f>IF(AND(H137="Completed",G137&lt;&gt;"",F137&lt;&gt;""),G137-F137,"")</x:f>
      </x:c>
      <x:c r="Q137" s="89" t="str">
        <x:f>IF(OR(H137="On Hold",AND(I137="High",N137&gt;7,H137&lt;&gt;"Completed")),"Critical",IF(OR(AND(N137&gt;=1,N137&lt;=7,H137&lt;&gt;"Completed"),AND(O137&gt;7,H137&lt;&gt;"Completed")),"Warning","Normal"))</x:f>
        <x:v>Normal</x:v>
      </x:c>
      <x:c r="R137" s="90" t="str">
        <x:f>IF(AND(I137="High",N137&gt;7,H137&lt;&gt;"Completed"),"High-priority activity overdue by more than 7 days",IF(H137="On Hold","Activity is on hold",IF(AND(O137&gt;7,H137&lt;&gt;"Completed"),"Open activity has a stale update (&gt;7 days)",IF(AND(N137&gt;=1,N137&lt;=7,H137&lt;&gt;"Completed"),"Open activity overdue by 1-7 days",""))))</x:f>
      </x:c>
    </x:row>
    <x:row r="138">
      <x:c r="A138" s="84" t="str">
        <x:v>ACT-0134</x:v>
      </x:c>
      <x:c r="B138" s="85" t="str">
        <x:v>Engineering</x:v>
      </x:c>
      <x:c r="C138" s="85" t="str">
        <x:v>ENG-B</x:v>
      </x:c>
      <x:c r="D138" s="85" t="str">
        <x:v>Drawing Review</x:v>
      </x:c>
      <x:c r="E138" s="86" t="n">
        <x:v>46238</x:v>
      </x:c>
      <x:c r="F138" s="86" t="n">
        <x:v>46261</x:v>
      </x:c>
      <x:c r="G138" s="86" t="n">
        <x:v>46263</x:v>
      </x:c>
      <x:c r="H138" s="85" t="str">
        <x:v>Completed</x:v>
      </x:c>
      <x:c r="I138" s="85" t="str">
        <x:v>Medium</x:v>
      </x:c>
      <x:c r="J138" s="87" t="n">
        <x:v>100</x:v>
      </x:c>
      <x:c r="K138" s="85" t="str">
        <x:v>None</x:v>
      </x:c>
      <x:c r="L138" s="86" t="n">
        <x:v>46259</x:v>
      </x:c>
      <x:c r="M138" s="85" t="str">
        <x:v>Team Lead B</x:v>
      </x:c>
      <x:c r="N138" s="88" t="n">
        <x:f>IF(AND(H138&lt;&gt;"Completed",F138&lt;'Summary'!$B$3),'Summary'!$B$3-F138,0)</x:f>
        <x:v>0</x:v>
      </x:c>
      <x:c r="O138" s="88" t="n">
        <x:f>'Summary'!$B$3-L138</x:f>
        <x:v>7</x:v>
      </x:c>
      <x:c r="P138" s="88" t="n">
        <x:f>IF(AND(H138="Completed",G138&lt;&gt;"",F138&lt;&gt;""),G138-F138,"")</x:f>
        <x:v>2</x:v>
      </x:c>
      <x:c r="Q138" s="89" t="str">
        <x:f>IF(OR(H138="On Hold",AND(I138="High",N138&gt;7,H138&lt;&gt;"Completed")),"Critical",IF(OR(AND(N138&gt;=1,N138&lt;=7,H138&lt;&gt;"Completed"),AND(O138&gt;7,H138&lt;&gt;"Completed")),"Warning","Normal"))</x:f>
        <x:v>Normal</x:v>
      </x:c>
      <x:c r="R138" s="90" t="str">
        <x:f>IF(AND(I138="High",N138&gt;7,H138&lt;&gt;"Completed"),"High-priority activity overdue by more than 7 days",IF(H138="On Hold","Activity is on hold",IF(AND(O138&gt;7,H138&lt;&gt;"Completed"),"Open activity has a stale update (&gt;7 days)",IF(AND(N138&gt;=1,N138&lt;=7,H138&lt;&gt;"Completed"),"Open activity overdue by 1-7 days",""))))</x:f>
      </x:c>
    </x:row>
    <x:row r="139">
      <x:c r="A139" s="84" t="str">
        <x:v>ACT-0135</x:v>
      </x:c>
      <x:c r="B139" s="85" t="str">
        <x:v>QA/QC</x:v>
      </x:c>
      <x:c r="C139" s="85" t="str">
        <x:v>QA-B</x:v>
      </x:c>
      <x:c r="D139" s="85" t="str">
        <x:v>Quality Review</x:v>
      </x:c>
      <x:c r="E139" s="86" t="n">
        <x:v>46226</x:v>
      </x:c>
      <x:c r="F139" s="86" t="n">
        <x:v>46253</x:v>
      </x:c>
      <x:c r="G139" s="86" t="n">
        <x:v>46258</x:v>
      </x:c>
      <x:c r="H139" s="85" t="str">
        <x:v>Completed</x:v>
      </x:c>
      <x:c r="I139" s="85" t="str">
        <x:v>Medium</x:v>
      </x:c>
      <x:c r="J139" s="87" t="n">
        <x:v>100</x:v>
      </x:c>
      <x:c r="K139" s="85" t="str">
        <x:v>None</x:v>
      </x:c>
      <x:c r="L139" s="86" t="n">
        <x:v>46258</x:v>
      </x:c>
      <x:c r="M139" s="85" t="str">
        <x:v>Team Lead E</x:v>
      </x:c>
      <x:c r="N139" s="88" t="n">
        <x:f>IF(AND(H139&lt;&gt;"Completed",F139&lt;'Summary'!$B$3),'Summary'!$B$3-F139,0)</x:f>
        <x:v>0</x:v>
      </x:c>
      <x:c r="O139" s="88" t="n">
        <x:f>'Summary'!$B$3-L139</x:f>
        <x:v>8</x:v>
      </x:c>
      <x:c r="P139" s="88" t="n">
        <x:f>IF(AND(H139="Completed",G139&lt;&gt;"",F139&lt;&gt;""),G139-F139,"")</x:f>
        <x:v>5</x:v>
      </x:c>
      <x:c r="Q139" s="89" t="str">
        <x:f>IF(OR(H139="On Hold",AND(I139="High",N139&gt;7,H139&lt;&gt;"Completed")),"Critical",IF(OR(AND(N139&gt;=1,N139&lt;=7,H139&lt;&gt;"Completed"),AND(O139&gt;7,H139&lt;&gt;"Completed")),"Warning","Normal"))</x:f>
        <x:v>Normal</x:v>
      </x:c>
      <x:c r="R139" s="90" t="str">
        <x:f>IF(AND(I139="High",N139&gt;7,H139&lt;&gt;"Completed"),"High-priority activity overdue by more than 7 days",IF(H139="On Hold","Activity is on hold",IF(AND(O139&gt;7,H139&lt;&gt;"Completed"),"Open activity has a stale update (&gt;7 days)",IF(AND(N139&gt;=1,N139&lt;=7,H139&lt;&gt;"Completed"),"Open activity overdue by 1-7 days",""))))</x:f>
      </x:c>
    </x:row>
    <x:row r="140">
      <x:c r="A140" s="84" t="str">
        <x:v>ACT-0136</x:v>
      </x:c>
      <x:c r="B140" s="85" t="str">
        <x:v>Construction</x:v>
      </x:c>
      <x:c r="C140" s="85" t="str">
        <x:v>CONST-B</x:v>
      </x:c>
      <x:c r="D140" s="85" t="str">
        <x:v>Progress Update</x:v>
      </x:c>
      <x:c r="E140" s="86" t="n">
        <x:v>46258</x:v>
      </x:c>
      <x:c r="F140" s="86" t="n">
        <x:v>46280</x:v>
      </x:c>
      <x:c r="G140" s="86"/>
      <x:c r="H140" s="85" t="str">
        <x:v>Not Started</x:v>
      </x:c>
      <x:c r="I140" s="85" t="str">
        <x:v>Medium</x:v>
      </x:c>
      <x:c r="J140" s="87" t="n">
        <x:v>10</x:v>
      </x:c>
      <x:c r="K140" s="85" t="str">
        <x:v>Documentation</x:v>
      </x:c>
      <x:c r="L140" s="86" t="n">
        <x:v>46259</x:v>
      </x:c>
      <x:c r="M140" s="85" t="str">
        <x:v>Team Lead C</x:v>
      </x:c>
      <x:c r="N140" s="88" t="n">
        <x:f>IF(AND(H140&lt;&gt;"Completed",F140&lt;'Summary'!$B$3),'Summary'!$B$3-F140,0)</x:f>
        <x:v>0</x:v>
      </x:c>
      <x:c r="O140" s="88" t="n">
        <x:f>'Summary'!$B$3-L140</x:f>
        <x:v>7</x:v>
      </x:c>
      <x:c r="P140" s="88" t="str">
        <x:f>IF(AND(H140="Completed",G140&lt;&gt;"",F140&lt;&gt;""),G140-F140,"")</x:f>
      </x:c>
      <x:c r="Q140" s="89" t="str">
        <x:f>IF(OR(H140="On Hold",AND(I140="High",N140&gt;7,H140&lt;&gt;"Completed")),"Critical",IF(OR(AND(N140&gt;=1,N140&lt;=7,H140&lt;&gt;"Completed"),AND(O140&gt;7,H140&lt;&gt;"Completed")),"Warning","Normal"))</x:f>
        <x:v>Normal</x:v>
      </x:c>
      <x:c r="R140" s="90" t="str">
        <x:f>IF(AND(I140="High",N140&gt;7,H140&lt;&gt;"Completed"),"High-priority activity overdue by more than 7 days",IF(H140="On Hold","Activity is on hold",IF(AND(O140&gt;7,H140&lt;&gt;"Completed"),"Open activity has a stale update (&gt;7 days)",IF(AND(N140&gt;=1,N140&lt;=7,H140&lt;&gt;"Completed"),"Open activity overdue by 1-7 days",""))))</x:f>
      </x:c>
    </x:row>
    <x:row r="141">
      <x:c r="A141" s="84" t="str">
        <x:v>ACT-0137</x:v>
      </x:c>
      <x:c r="B141" s="85" t="str">
        <x:v>Procurement</x:v>
      </x:c>
      <x:c r="C141" s="85" t="str">
        <x:v>PROC-A</x:v>
      </x:c>
      <x:c r="D141" s="85" t="str">
        <x:v>Material Delivery</x:v>
      </x:c>
      <x:c r="E141" s="86" t="n">
        <x:v>46250</x:v>
      </x:c>
      <x:c r="F141" s="86" t="n">
        <x:v>46275</x:v>
      </x:c>
      <x:c r="G141" s="86"/>
      <x:c r="H141" s="85" t="str">
        <x:v>Not Started</x:v>
      </x:c>
      <x:c r="I141" s="85" t="str">
        <x:v>Medium</x:v>
      </x:c>
      <x:c r="J141" s="87" t="n">
        <x:v>5</x:v>
      </x:c>
      <x:c r="K141" s="85" t="str">
        <x:v>Documentation</x:v>
      </x:c>
      <x:c r="L141" s="86" t="n">
        <x:v>46253</x:v>
      </x:c>
      <x:c r="M141" s="85" t="str">
        <x:v>Team Lead F</x:v>
      </x:c>
      <x:c r="N141" s="88" t="n">
        <x:f>IF(AND(H141&lt;&gt;"Completed",F141&lt;'Summary'!$B$3),'Summary'!$B$3-F141,0)</x:f>
        <x:v>0</x:v>
      </x:c>
      <x:c r="O141" s="88" t="n">
        <x:f>'Summary'!$B$3-L141</x:f>
        <x:v>13</x:v>
      </x:c>
      <x:c r="P141" s="88" t="str">
        <x:f>IF(AND(H141="Completed",G141&lt;&gt;"",F141&lt;&gt;""),G141-F141,"")</x:f>
      </x:c>
      <x:c r="Q141" s="89" t="str">
        <x:f>IF(OR(H141="On Hold",AND(I141="High",N141&gt;7,H141&lt;&gt;"Completed")),"Critical",IF(OR(AND(N141&gt;=1,N141&lt;=7,H141&lt;&gt;"Completed"),AND(O141&gt;7,H141&lt;&gt;"Completed")),"Warning","Normal"))</x:f>
        <x:v>Warning</x:v>
      </x:c>
      <x:c r="R141" s="90" t="str">
        <x:f>IF(AND(I141="High",N141&gt;7,H141&lt;&gt;"Completed"),"High-priority activity overdue by more than 7 days",IF(H141="On Hold","Activity is on hold",IF(AND(O141&gt;7,H141&lt;&gt;"Completed"),"Open activity has a stale update (&gt;7 days)",IF(AND(N141&gt;=1,N141&lt;=7,H141&lt;&gt;"Completed"),"Open activity overdue by 1-7 days",""))))</x:f>
        <x:v>Open activity has a stale update (&gt;7 days)</x:v>
      </x:c>
    </x:row>
    <x:row r="142">
      <x:c r="A142" s="84" t="str">
        <x:v>ACT-0138</x:v>
      </x:c>
      <x:c r="B142" s="85" t="str">
        <x:v>Construction</x:v>
      </x:c>
      <x:c r="C142" s="85" t="str">
        <x:v>CONST-A</x:v>
      </x:c>
      <x:c r="D142" s="85" t="str">
        <x:v>Site Preparation</x:v>
      </x:c>
      <x:c r="E142" s="86" t="n">
        <x:v>46239</x:v>
      </x:c>
      <x:c r="F142" s="86" t="n">
        <x:v>46253</x:v>
      </x:c>
      <x:c r="G142" s="86" t="n">
        <x:v>46254</x:v>
      </x:c>
      <x:c r="H142" s="85" t="str">
        <x:v>Completed</x:v>
      </x:c>
      <x:c r="I142" s="85" t="str">
        <x:v>Medium</x:v>
      </x:c>
      <x:c r="J142" s="87" t="n">
        <x:v>100</x:v>
      </x:c>
      <x:c r="K142" s="85" t="str">
        <x:v>Documentation</x:v>
      </x:c>
      <x:c r="L142" s="86" t="n">
        <x:v>46252</x:v>
      </x:c>
      <x:c r="M142" s="85" t="str">
        <x:v>Team Lead D</x:v>
      </x:c>
      <x:c r="N142" s="88" t="n">
        <x:f>IF(AND(H142&lt;&gt;"Completed",F142&lt;'Summary'!$B$3),'Summary'!$B$3-F142,0)</x:f>
        <x:v>0</x:v>
      </x:c>
      <x:c r="O142" s="88" t="n">
        <x:f>'Summary'!$B$3-L142</x:f>
        <x:v>14</x:v>
      </x:c>
      <x:c r="P142" s="88" t="n">
        <x:f>IF(AND(H142="Completed",G142&lt;&gt;"",F142&lt;&gt;""),G142-F142,"")</x:f>
        <x:v>1</x:v>
      </x:c>
      <x:c r="Q142" s="89" t="str">
        <x:f>IF(OR(H142="On Hold",AND(I142="High",N142&gt;7,H142&lt;&gt;"Completed")),"Critical",IF(OR(AND(N142&gt;=1,N142&lt;=7,H142&lt;&gt;"Completed"),AND(O142&gt;7,H142&lt;&gt;"Completed")),"Warning","Normal"))</x:f>
        <x:v>Normal</x:v>
      </x:c>
      <x:c r="R142" s="90" t="str">
        <x:f>IF(AND(I142="High",N142&gt;7,H142&lt;&gt;"Completed"),"High-priority activity overdue by more than 7 days",IF(H142="On Hold","Activity is on hold",IF(AND(O142&gt;7,H142&lt;&gt;"Completed"),"Open activity has a stale update (&gt;7 days)",IF(AND(N142&gt;=1,N142&lt;=7,H142&lt;&gt;"Completed"),"Open activity overdue by 1-7 days",""))))</x:f>
      </x:c>
    </x:row>
    <x:row r="143">
      <x:c r="A143" s="84" t="str">
        <x:v>ACT-0139</x:v>
      </x:c>
      <x:c r="B143" s="85" t="str">
        <x:v>Engineering</x:v>
      </x:c>
      <x:c r="C143" s="85" t="str">
        <x:v>ENG-A</x:v>
      </x:c>
      <x:c r="D143" s="85" t="str">
        <x:v>RFI Closure</x:v>
      </x:c>
      <x:c r="E143" s="86" t="n">
        <x:v>46183</x:v>
      </x:c>
      <x:c r="F143" s="86" t="n">
        <x:v>46195</x:v>
      </x:c>
      <x:c r="G143" s="86"/>
      <x:c r="H143" s="85" t="str">
        <x:v>In Progress</x:v>
      </x:c>
      <x:c r="I143" s="85" t="str">
        <x:v>High</x:v>
      </x:c>
      <x:c r="J143" s="87" t="n">
        <x:v>95</x:v>
      </x:c>
      <x:c r="K143" s="85" t="str">
        <x:v>Documentation</x:v>
      </x:c>
      <x:c r="L143" s="86" t="n">
        <x:v>46258</x:v>
      </x:c>
      <x:c r="M143" s="85" t="str">
        <x:v>Team Lead E</x:v>
      </x:c>
      <x:c r="N143" s="88" t="n">
        <x:f>IF(AND(H143&lt;&gt;"Completed",F143&lt;'Summary'!$B$3),'Summary'!$B$3-F143,0)</x:f>
        <x:v>71</x:v>
      </x:c>
      <x:c r="O143" s="88" t="n">
        <x:f>'Summary'!$B$3-L143</x:f>
        <x:v>8</x:v>
      </x:c>
      <x:c r="P143" s="88" t="str">
        <x:f>IF(AND(H143="Completed",G143&lt;&gt;"",F143&lt;&gt;""),G143-F143,"")</x:f>
      </x:c>
      <x:c r="Q143" s="89" t="str">
        <x:f>IF(OR(H143="On Hold",AND(I143="High",N143&gt;7,H143&lt;&gt;"Completed")),"Critical",IF(OR(AND(N143&gt;=1,N143&lt;=7,H143&lt;&gt;"Completed"),AND(O143&gt;7,H143&lt;&gt;"Completed")),"Warning","Normal"))</x:f>
        <x:v>Critical</x:v>
      </x:c>
      <x:c r="R143" s="90" t="str">
        <x:f>IF(AND(I143="High",N143&gt;7,H143&lt;&gt;"Completed"),"High-priority activity overdue by more than 7 days",IF(H143="On Hold","Activity is on hold",IF(AND(O143&gt;7,H143&lt;&gt;"Completed"),"Open activity has a stale update (&gt;7 days)",IF(AND(N143&gt;=1,N143&lt;=7,H143&lt;&gt;"Completed"),"Open activity overdue by 1-7 days",""))))</x:f>
        <x:v>High-priority activity overdue by more than 7 days</x:v>
      </x:c>
    </x:row>
    <x:row r="144">
      <x:c r="A144" s="84" t="str">
        <x:v>ACT-0140</x:v>
      </x:c>
      <x:c r="B144" s="85" t="str">
        <x:v>Engineering</x:v>
      </x:c>
      <x:c r="C144" s="85" t="str">
        <x:v>ENG-B</x:v>
      </x:c>
      <x:c r="D144" s="85" t="str">
        <x:v>RFI Closure</x:v>
      </x:c>
      <x:c r="E144" s="86" t="n">
        <x:v>46250</x:v>
      </x:c>
      <x:c r="F144" s="86" t="n">
        <x:v>46265</x:v>
      </x:c>
      <x:c r="G144" s="86" t="n">
        <x:v>46265</x:v>
      </x:c>
      <x:c r="H144" s="85" t="str">
        <x:v>Completed</x:v>
      </x:c>
      <x:c r="I144" s="85" t="str">
        <x:v>High</x:v>
      </x:c>
      <x:c r="J144" s="87" t="n">
        <x:v>100</x:v>
      </x:c>
      <x:c r="K144" s="85" t="str">
        <x:v>None</x:v>
      </x:c>
      <x:c r="L144" s="86" t="n">
        <x:v>46262</x:v>
      </x:c>
      <x:c r="M144" s="85" t="str">
        <x:v>Team Lead C</x:v>
      </x:c>
      <x:c r="N144" s="88" t="n">
        <x:f>IF(AND(H144&lt;&gt;"Completed",F144&lt;'Summary'!$B$3),'Summary'!$B$3-F144,0)</x:f>
        <x:v>0</x:v>
      </x:c>
      <x:c r="O144" s="88" t="n">
        <x:f>'Summary'!$B$3-L144</x:f>
        <x:v>4</x:v>
      </x:c>
      <x:c r="P144" s="88" t="n">
        <x:f>IF(AND(H144="Completed",G144&lt;&gt;"",F144&lt;&gt;""),G144-F144,"")</x:f>
        <x:v>0</x:v>
      </x:c>
      <x:c r="Q144" s="89" t="str">
        <x:f>IF(OR(H144="On Hold",AND(I144="High",N144&gt;7,H144&lt;&gt;"Completed")),"Critical",IF(OR(AND(N144&gt;=1,N144&lt;=7,H144&lt;&gt;"Completed"),AND(O144&gt;7,H144&lt;&gt;"Completed")),"Warning","Normal"))</x:f>
        <x:v>Normal</x:v>
      </x:c>
      <x:c r="R144" s="90" t="str">
        <x:f>IF(AND(I144="High",N144&gt;7,H144&lt;&gt;"Completed"),"High-priority activity overdue by more than 7 days",IF(H144="On Hold","Activity is on hold",IF(AND(O144&gt;7,H144&lt;&gt;"Completed"),"Open activity has a stale update (&gt;7 days)",IF(AND(N144&gt;=1,N144&lt;=7,H144&lt;&gt;"Completed"),"Open activity overdue by 1-7 days",""))))</x:f>
      </x:c>
    </x:row>
    <x:row r="145">
      <x:c r="A145" s="84" t="str">
        <x:v>ACT-0141</x:v>
      </x:c>
      <x:c r="B145" s="85" t="str">
        <x:v>Construction</x:v>
      </x:c>
      <x:c r="C145" s="85" t="str">
        <x:v>CONST-A</x:v>
      </x:c>
      <x:c r="D145" s="85" t="str">
        <x:v>Site Preparation</x:v>
      </x:c>
      <x:c r="E145" s="86" t="n">
        <x:v>46252</x:v>
      </x:c>
      <x:c r="F145" s="86" t="n">
        <x:v>46264</x:v>
      </x:c>
      <x:c r="G145" s="86"/>
      <x:c r="H145" s="85" t="str">
        <x:v>In Progress</x:v>
      </x:c>
      <x:c r="I145" s="85" t="str">
        <x:v>Low</x:v>
      </x:c>
      <x:c r="J145" s="87" t="n">
        <x:v>50</x:v>
      </x:c>
      <x:c r="K145" s="85" t="str">
        <x:v>None</x:v>
      </x:c>
      <x:c r="L145" s="86" t="n">
        <x:v>46258</x:v>
      </x:c>
      <x:c r="M145" s="85" t="str">
        <x:v>Team Lead D</x:v>
      </x:c>
      <x:c r="N145" s="88" t="n">
        <x:f>IF(AND(H145&lt;&gt;"Completed",F145&lt;'Summary'!$B$3),'Summary'!$B$3-F145,0)</x:f>
        <x:v>2</x:v>
      </x:c>
      <x:c r="O145" s="88" t="n">
        <x:f>'Summary'!$B$3-L145</x:f>
        <x:v>8</x:v>
      </x:c>
      <x:c r="P145" s="88" t="str">
        <x:f>IF(AND(H145="Completed",G145&lt;&gt;"",F145&lt;&gt;""),G145-F145,"")</x:f>
      </x:c>
      <x:c r="Q145" s="89" t="str">
        <x:f>IF(OR(H145="On Hold",AND(I145="High",N145&gt;7,H145&lt;&gt;"Completed")),"Critical",IF(OR(AND(N145&gt;=1,N145&lt;=7,H145&lt;&gt;"Completed"),AND(O145&gt;7,H145&lt;&gt;"Completed")),"Warning","Normal"))</x:f>
        <x:v>Warning</x:v>
      </x:c>
      <x:c r="R145" s="90" t="str">
        <x:f>IF(AND(I145="High",N145&gt;7,H145&lt;&gt;"Completed"),"High-priority activity overdue by more than 7 days",IF(H145="On Hold","Activity is on hold",IF(AND(O145&gt;7,H145&lt;&gt;"Completed"),"Open activity has a stale update (&gt;7 days)",IF(AND(N145&gt;=1,N145&lt;=7,H145&lt;&gt;"Completed"),"Open activity overdue by 1-7 days",""))))</x:f>
        <x:v>Open activity has a stale update (&gt;7 days)</x:v>
      </x:c>
    </x:row>
    <x:row r="146">
      <x:c r="A146" s="84" t="str">
        <x:v>ACT-0142</x:v>
      </x:c>
      <x:c r="B146" s="85" t="str">
        <x:v>Procurement</x:v>
      </x:c>
      <x:c r="C146" s="85" t="str">
        <x:v>PROC-A</x:v>
      </x:c>
      <x:c r="D146" s="85" t="str">
        <x:v>Vendor Follow-up</x:v>
      </x:c>
      <x:c r="E146" s="86" t="n">
        <x:v>46260</x:v>
      </x:c>
      <x:c r="F146" s="86" t="n">
        <x:v>46281</x:v>
      </x:c>
      <x:c r="G146" s="86"/>
      <x:c r="H146" s="85" t="str">
        <x:v>Not Started</x:v>
      </x:c>
      <x:c r="I146" s="85" t="str">
        <x:v>Medium</x:v>
      </x:c>
      <x:c r="J146" s="87" t="n">
        <x:v>0</x:v>
      </x:c>
      <x:c r="K146" s="85" t="str">
        <x:v>Material Delay</x:v>
      </x:c>
      <x:c r="L146" s="86" t="n">
        <x:v>46251</x:v>
      </x:c>
      <x:c r="M146" s="85" t="str">
        <x:v>Team Lead D</x:v>
      </x:c>
      <x:c r="N146" s="88" t="n">
        <x:f>IF(AND(H146&lt;&gt;"Completed",F146&lt;'Summary'!$B$3),'Summary'!$B$3-F146,0)</x:f>
        <x:v>0</x:v>
      </x:c>
      <x:c r="O146" s="88" t="n">
        <x:f>'Summary'!$B$3-L146</x:f>
        <x:v>15</x:v>
      </x:c>
      <x:c r="P146" s="88" t="str">
        <x:f>IF(AND(H146="Completed",G146&lt;&gt;"",F146&lt;&gt;""),G146-F146,"")</x:f>
      </x:c>
      <x:c r="Q146" s="89" t="str">
        <x:f>IF(OR(H146="On Hold",AND(I146="High",N146&gt;7,H146&lt;&gt;"Completed")),"Critical",IF(OR(AND(N146&gt;=1,N146&lt;=7,H146&lt;&gt;"Completed"),AND(O146&gt;7,H146&lt;&gt;"Completed")),"Warning","Normal"))</x:f>
        <x:v>Warning</x:v>
      </x:c>
      <x:c r="R146" s="90" t="str">
        <x:f>IF(AND(I146="High",N146&gt;7,H146&lt;&gt;"Completed"),"High-priority activity overdue by more than 7 days",IF(H146="On Hold","Activity is on hold",IF(AND(O146&gt;7,H146&lt;&gt;"Completed"),"Open activity has a stale update (&gt;7 days)",IF(AND(N146&gt;=1,N146&lt;=7,H146&lt;&gt;"Completed"),"Open activity overdue by 1-7 days",""))))</x:f>
        <x:v>Open activity has a stale update (&gt;7 days)</x:v>
      </x:c>
    </x:row>
    <x:row r="147">
      <x:c r="A147" s="84" t="str">
        <x:v>ACT-0143</x:v>
      </x:c>
      <x:c r="B147" s="85" t="str">
        <x:v>Procurement</x:v>
      </x:c>
      <x:c r="C147" s="85" t="str">
        <x:v>PROC-A</x:v>
      </x:c>
      <x:c r="D147" s="85" t="str">
        <x:v>Material Status Update</x:v>
      </x:c>
      <x:c r="E147" s="86" t="n">
        <x:v>46191</x:v>
      </x:c>
      <x:c r="F147" s="86" t="n">
        <x:v>46202</x:v>
      </x:c>
      <x:c r="G147" s="86" t="n">
        <x:v>46208</x:v>
      </x:c>
      <x:c r="H147" s="85" t="str">
        <x:v>Completed</x:v>
      </x:c>
      <x:c r="I147" s="85" t="str">
        <x:v>Medium</x:v>
      </x:c>
      <x:c r="J147" s="87" t="n">
        <x:v>100</x:v>
      </x:c>
      <x:c r="K147" s="85" t="str">
        <x:v>Documentation</x:v>
      </x:c>
      <x:c r="L147" s="86" t="n">
        <x:v>46204</x:v>
      </x:c>
      <x:c r="M147" s="85" t="str">
        <x:v>Team Lead F</x:v>
      </x:c>
      <x:c r="N147" s="88" t="n">
        <x:f>IF(AND(H147&lt;&gt;"Completed",F147&lt;'Summary'!$B$3),'Summary'!$B$3-F147,0)</x:f>
        <x:v>0</x:v>
      </x:c>
      <x:c r="O147" s="88" t="n">
        <x:f>'Summary'!$B$3-L147</x:f>
        <x:v>62</x:v>
      </x:c>
      <x:c r="P147" s="88" t="n">
        <x:f>IF(AND(H147="Completed",G147&lt;&gt;"",F147&lt;&gt;""),G147-F147,"")</x:f>
        <x:v>6</x:v>
      </x:c>
      <x:c r="Q147" s="89" t="str">
        <x:f>IF(OR(H147="On Hold",AND(I147="High",N147&gt;7,H147&lt;&gt;"Completed")),"Critical",IF(OR(AND(N147&gt;=1,N147&lt;=7,H147&lt;&gt;"Completed"),AND(O147&gt;7,H147&lt;&gt;"Completed")),"Warning","Normal"))</x:f>
        <x:v>Normal</x:v>
      </x:c>
      <x:c r="R147" s="90" t="str">
        <x:f>IF(AND(I147="High",N147&gt;7,H147&lt;&gt;"Completed"),"High-priority activity overdue by more than 7 days",IF(H147="On Hold","Activity is on hold",IF(AND(O147&gt;7,H147&lt;&gt;"Completed"),"Open activity has a stale update (&gt;7 days)",IF(AND(N147&gt;=1,N147&lt;=7,H147&lt;&gt;"Completed"),"Open activity overdue by 1-7 days",""))))</x:f>
      </x:c>
    </x:row>
    <x:row r="148">
      <x:c r="A148" s="84" t="str">
        <x:v>ACT-0144</x:v>
      </x:c>
      <x:c r="B148" s="85" t="str">
        <x:v>Project Controls</x:v>
      </x:c>
      <x:c r="C148" s="85" t="str">
        <x:v>PC-A</x:v>
      </x:c>
      <x:c r="D148" s="85" t="str">
        <x:v>Schedule Review</x:v>
      </x:c>
      <x:c r="E148" s="86" t="n">
        <x:v>46184</x:v>
      </x:c>
      <x:c r="F148" s="86" t="n">
        <x:v>46211</x:v>
      </x:c>
      <x:c r="G148" s="86" t="n">
        <x:v>46222</x:v>
      </x:c>
      <x:c r="H148" s="85" t="str">
        <x:v>Completed</x:v>
      </x:c>
      <x:c r="I148" s="85" t="str">
        <x:v>Medium</x:v>
      </x:c>
      <x:c r="J148" s="87" t="n">
        <x:v>100</x:v>
      </x:c>
      <x:c r="K148" s="85" t="str">
        <x:v>Rework</x:v>
      </x:c>
      <x:c r="L148" s="86" t="n">
        <x:v>46221</x:v>
      </x:c>
      <x:c r="M148" s="85" t="str">
        <x:v>Team Lead A</x:v>
      </x:c>
      <x:c r="N148" s="88" t="n">
        <x:f>IF(AND(H148&lt;&gt;"Completed",F148&lt;'Summary'!$B$3),'Summary'!$B$3-F148,0)</x:f>
        <x:v>0</x:v>
      </x:c>
      <x:c r="O148" s="88" t="n">
        <x:f>'Summary'!$B$3-L148</x:f>
        <x:v>45</x:v>
      </x:c>
      <x:c r="P148" s="88" t="n">
        <x:f>IF(AND(H148="Completed",G148&lt;&gt;"",F148&lt;&gt;""),G148-F148,"")</x:f>
        <x:v>11</x:v>
      </x:c>
      <x:c r="Q148" s="89" t="str">
        <x:f>IF(OR(H148="On Hold",AND(I148="High",N148&gt;7,H148&lt;&gt;"Completed")),"Critical",IF(OR(AND(N148&gt;=1,N148&lt;=7,H148&lt;&gt;"Completed"),AND(O148&gt;7,H148&lt;&gt;"Completed")),"Warning","Normal"))</x:f>
        <x:v>Normal</x:v>
      </x:c>
      <x:c r="R148" s="90" t="str">
        <x:f>IF(AND(I148="High",N148&gt;7,H148&lt;&gt;"Completed"),"High-priority activity overdue by more than 7 days",IF(H148="On Hold","Activity is on hold",IF(AND(O148&gt;7,H148&lt;&gt;"Completed"),"Open activity has a stale update (&gt;7 days)",IF(AND(N148&gt;=1,N148&lt;=7,H148&lt;&gt;"Completed"),"Open activity overdue by 1-7 days",""))))</x:f>
      </x:c>
    </x:row>
    <x:row r="149">
      <x:c r="A149" s="84" t="str">
        <x:v>ACT-0145</x:v>
      </x:c>
      <x:c r="B149" s="85" t="str">
        <x:v>Procurement</x:v>
      </x:c>
      <x:c r="C149" s="85" t="str">
        <x:v>PROC-A</x:v>
      </x:c>
      <x:c r="D149" s="85" t="str">
        <x:v>Vendor Follow-up</x:v>
      </x:c>
      <x:c r="E149" s="86" t="n">
        <x:v>46218</x:v>
      </x:c>
      <x:c r="F149" s="86" t="n">
        <x:v>46221</x:v>
      </x:c>
      <x:c r="G149" s="86" t="n">
        <x:v>46227</x:v>
      </x:c>
      <x:c r="H149" s="85" t="str">
        <x:v>Completed</x:v>
      </x:c>
      <x:c r="I149" s="85" t="str">
        <x:v>Medium</x:v>
      </x:c>
      <x:c r="J149" s="87" t="n">
        <x:v>100</x:v>
      </x:c>
      <x:c r="K149" s="85" t="str">
        <x:v>None</x:v>
      </x:c>
      <x:c r="L149" s="86" t="n">
        <x:v>46226</x:v>
      </x:c>
      <x:c r="M149" s="85" t="str">
        <x:v>Team Lead A</x:v>
      </x:c>
      <x:c r="N149" s="88" t="n">
        <x:f>IF(AND(H149&lt;&gt;"Completed",F149&lt;'Summary'!$B$3),'Summary'!$B$3-F149,0)</x:f>
        <x:v>0</x:v>
      </x:c>
      <x:c r="O149" s="88" t="n">
        <x:f>'Summary'!$B$3-L149</x:f>
        <x:v>40</x:v>
      </x:c>
      <x:c r="P149" s="88" t="n">
        <x:f>IF(AND(H149="Completed",G149&lt;&gt;"",F149&lt;&gt;""),G149-F149,"")</x:f>
        <x:v>6</x:v>
      </x:c>
      <x:c r="Q149" s="89" t="str">
        <x:f>IF(OR(H149="On Hold",AND(I149="High",N149&gt;7,H149&lt;&gt;"Completed")),"Critical",IF(OR(AND(N149&gt;=1,N149&lt;=7,H149&lt;&gt;"Completed"),AND(O149&gt;7,H149&lt;&gt;"Completed")),"Warning","Normal"))</x:f>
        <x:v>Normal</x:v>
      </x:c>
      <x:c r="R149" s="90" t="str">
        <x:f>IF(AND(I149="High",N149&gt;7,H149&lt;&gt;"Completed"),"High-priority activity overdue by more than 7 days",IF(H149="On Hold","Activity is on hold",IF(AND(O149&gt;7,H149&lt;&gt;"Completed"),"Open activity has a stale update (&gt;7 days)",IF(AND(N149&gt;=1,N149&lt;=7,H149&lt;&gt;"Completed"),"Open activity overdue by 1-7 days",""))))</x:f>
      </x:c>
    </x:row>
    <x:row r="150">
      <x:c r="A150" s="84" t="str">
        <x:v>ACT-0146</x:v>
      </x:c>
      <x:c r="B150" s="85" t="str">
        <x:v>QA/QC</x:v>
      </x:c>
      <x:c r="C150" s="85" t="str">
        <x:v>QA-A</x:v>
      </x:c>
      <x:c r="D150" s="85" t="str">
        <x:v>Punch Clearance</x:v>
      </x:c>
      <x:c r="E150" s="86" t="n">
        <x:v>46186</x:v>
      </x:c>
      <x:c r="F150" s="86" t="n">
        <x:v>46211</x:v>
      </x:c>
      <x:c r="G150" s="86" t="n">
        <x:v>46210</x:v>
      </x:c>
      <x:c r="H150" s="85" t="str">
        <x:v>Completed</x:v>
      </x:c>
      <x:c r="I150" s="85" t="str">
        <x:v>Low</x:v>
      </x:c>
      <x:c r="J150" s="87" t="n">
        <x:v>100</x:v>
      </x:c>
      <x:c r="K150" s="85" t="str">
        <x:v>None</x:v>
      </x:c>
      <x:c r="L150" s="86" t="n">
        <x:v>46210</x:v>
      </x:c>
      <x:c r="M150" s="85" t="str">
        <x:v>Team Lead D</x:v>
      </x:c>
      <x:c r="N150" s="88" t="n">
        <x:f>IF(AND(H150&lt;&gt;"Completed",F150&lt;'Summary'!$B$3),'Summary'!$B$3-F150,0)</x:f>
        <x:v>0</x:v>
      </x:c>
      <x:c r="O150" s="88" t="n">
        <x:f>'Summary'!$B$3-L150</x:f>
        <x:v>56</x:v>
      </x:c>
      <x:c r="P150" s="88" t="n">
        <x:f>IF(AND(H150="Completed",G150&lt;&gt;"",F150&lt;&gt;""),G150-F150,"")</x:f>
        <x:v>-1</x:v>
      </x:c>
      <x:c r="Q150" s="89" t="str">
        <x:f>IF(OR(H150="On Hold",AND(I150="High",N150&gt;7,H150&lt;&gt;"Completed")),"Critical",IF(OR(AND(N150&gt;=1,N150&lt;=7,H150&lt;&gt;"Completed"),AND(O150&gt;7,H150&lt;&gt;"Completed")),"Warning","Normal"))</x:f>
        <x:v>Normal</x:v>
      </x:c>
      <x:c r="R150" s="90" t="str">
        <x:f>IF(AND(I150="High",N150&gt;7,H150&lt;&gt;"Completed"),"High-priority activity overdue by more than 7 days",IF(H150="On Hold","Activity is on hold",IF(AND(O150&gt;7,H150&lt;&gt;"Completed"),"Open activity has a stale update (&gt;7 days)",IF(AND(N150&gt;=1,N150&lt;=7,H150&lt;&gt;"Completed"),"Open activity overdue by 1-7 days",""))))</x:f>
      </x:c>
    </x:row>
    <x:row r="151">
      <x:c r="A151" s="84" t="str">
        <x:v>ACT-0147</x:v>
      </x:c>
      <x:c r="B151" s="85" t="str">
        <x:v>Construction</x:v>
      </x:c>
      <x:c r="C151" s="85" t="str">
        <x:v>CONST-A</x:v>
      </x:c>
      <x:c r="D151" s="85" t="str">
        <x:v>Site Preparation</x:v>
      </x:c>
      <x:c r="E151" s="86" t="n">
        <x:v>46231</x:v>
      </x:c>
      <x:c r="F151" s="86" t="n">
        <x:v>46253</x:v>
      </x:c>
      <x:c r="G151" s="86" t="n">
        <x:v>46256</x:v>
      </x:c>
      <x:c r="H151" s="85" t="str">
        <x:v>Completed</x:v>
      </x:c>
      <x:c r="I151" s="85" t="str">
        <x:v>High</x:v>
      </x:c>
      <x:c r="J151" s="87" t="n">
        <x:v>100</x:v>
      </x:c>
      <x:c r="K151" s="85" t="str">
        <x:v>Rework</x:v>
      </x:c>
      <x:c r="L151" s="86" t="n">
        <x:v>46255</x:v>
      </x:c>
      <x:c r="M151" s="85" t="str">
        <x:v>Team Lead E</x:v>
      </x:c>
      <x:c r="N151" s="88" t="n">
        <x:f>IF(AND(H151&lt;&gt;"Completed",F151&lt;'Summary'!$B$3),'Summary'!$B$3-F151,0)</x:f>
        <x:v>0</x:v>
      </x:c>
      <x:c r="O151" s="88" t="n">
        <x:f>'Summary'!$B$3-L151</x:f>
        <x:v>11</x:v>
      </x:c>
      <x:c r="P151" s="88" t="n">
        <x:f>IF(AND(H151="Completed",G151&lt;&gt;"",F151&lt;&gt;""),G151-F151,"")</x:f>
        <x:v>3</x:v>
      </x:c>
      <x:c r="Q151" s="89" t="str">
        <x:f>IF(OR(H151="On Hold",AND(I151="High",N151&gt;7,H151&lt;&gt;"Completed")),"Critical",IF(OR(AND(N151&gt;=1,N151&lt;=7,H151&lt;&gt;"Completed"),AND(O151&gt;7,H151&lt;&gt;"Completed")),"Warning","Normal"))</x:f>
        <x:v>Normal</x:v>
      </x:c>
      <x:c r="R151" s="90" t="str">
        <x:f>IF(AND(I151="High",N151&gt;7,H151&lt;&gt;"Completed"),"High-priority activity overdue by more than 7 days",IF(H151="On Hold","Activity is on hold",IF(AND(O151&gt;7,H151&lt;&gt;"Completed"),"Open activity has a stale update (&gt;7 days)",IF(AND(N151&gt;=1,N151&lt;=7,H151&lt;&gt;"Completed"),"Open activity overdue by 1-7 days",""))))</x:f>
      </x:c>
    </x:row>
    <x:row r="152">
      <x:c r="A152" s="84" t="str">
        <x:v>ACT-0148</x:v>
      </x:c>
      <x:c r="B152" s="85" t="str">
        <x:v>Procurement</x:v>
      </x:c>
      <x:c r="C152" s="85" t="str">
        <x:v>PROC-A</x:v>
      </x:c>
      <x:c r="D152" s="85" t="str">
        <x:v>Material Delivery</x:v>
      </x:c>
      <x:c r="E152" s="86" t="n">
        <x:v>46210</x:v>
      </x:c>
      <x:c r="F152" s="86" t="n">
        <x:v>46220</x:v>
      </x:c>
      <x:c r="G152" s="86" t="n">
        <x:v>46228</x:v>
      </x:c>
      <x:c r="H152" s="85" t="str">
        <x:v>Completed</x:v>
      </x:c>
      <x:c r="I152" s="85" t="str">
        <x:v>High</x:v>
      </x:c>
      <x:c r="J152" s="87" t="n">
        <x:v>100</x:v>
      </x:c>
      <x:c r="K152" s="85" t="str">
        <x:v>None</x:v>
      </x:c>
      <x:c r="L152" s="86" t="n">
        <x:v>46224</x:v>
      </x:c>
      <x:c r="M152" s="85" t="str">
        <x:v>Team Lead A</x:v>
      </x:c>
      <x:c r="N152" s="88" t="n">
        <x:f>IF(AND(H152&lt;&gt;"Completed",F152&lt;'Summary'!$B$3),'Summary'!$B$3-F152,0)</x:f>
        <x:v>0</x:v>
      </x:c>
      <x:c r="O152" s="88" t="n">
        <x:f>'Summary'!$B$3-L152</x:f>
        <x:v>42</x:v>
      </x:c>
      <x:c r="P152" s="88" t="n">
        <x:f>IF(AND(H152="Completed",G152&lt;&gt;"",F152&lt;&gt;""),G152-F152,"")</x:f>
        <x:v>8</x:v>
      </x:c>
      <x:c r="Q152" s="89" t="str">
        <x:f>IF(OR(H152="On Hold",AND(I152="High",N152&gt;7,H152&lt;&gt;"Completed")),"Critical",IF(OR(AND(N152&gt;=1,N152&lt;=7,H152&lt;&gt;"Completed"),AND(O152&gt;7,H152&lt;&gt;"Completed")),"Warning","Normal"))</x:f>
        <x:v>Normal</x:v>
      </x:c>
      <x:c r="R152" s="90" t="str">
        <x:f>IF(AND(I152="High",N152&gt;7,H152&lt;&gt;"Completed"),"High-priority activity overdue by more than 7 days",IF(H152="On Hold","Activity is on hold",IF(AND(O152&gt;7,H152&lt;&gt;"Completed"),"Open activity has a stale update (&gt;7 days)",IF(AND(N152&gt;=1,N152&lt;=7,H152&lt;&gt;"Completed"),"Open activity overdue by 1-7 days",""))))</x:f>
      </x:c>
    </x:row>
    <x:row r="153">
      <x:c r="A153" s="84" t="str">
        <x:v>ACT-0149</x:v>
      </x:c>
      <x:c r="B153" s="85" t="str">
        <x:v>Project Controls</x:v>
      </x:c>
      <x:c r="C153" s="85" t="str">
        <x:v>PC-A</x:v>
      </x:c>
      <x:c r="D153" s="85" t="str">
        <x:v>KPI Update</x:v>
      </x:c>
      <x:c r="E153" s="86" t="n">
        <x:v>46242</x:v>
      </x:c>
      <x:c r="F153" s="86" t="n">
        <x:v>46245</x:v>
      </x:c>
      <x:c r="G153" s="86" t="n">
        <x:v>46244</x:v>
      </x:c>
      <x:c r="H153" s="85" t="str">
        <x:v>Completed</x:v>
      </x:c>
      <x:c r="I153" s="85" t="str">
        <x:v>Medium</x:v>
      </x:c>
      <x:c r="J153" s="87" t="n">
        <x:v>100</x:v>
      </x:c>
      <x:c r="K153" s="85" t="str">
        <x:v>None</x:v>
      </x:c>
      <x:c r="L153" s="86" t="n">
        <x:v>46242</x:v>
      </x:c>
      <x:c r="M153" s="85" t="str">
        <x:v>Team Lead E</x:v>
      </x:c>
      <x:c r="N153" s="88" t="n">
        <x:f>IF(AND(H153&lt;&gt;"Completed",F153&lt;'Summary'!$B$3),'Summary'!$B$3-F153,0)</x:f>
        <x:v>0</x:v>
      </x:c>
      <x:c r="O153" s="88" t="n">
        <x:f>'Summary'!$B$3-L153</x:f>
        <x:v>24</x:v>
      </x:c>
      <x:c r="P153" s="88" t="n">
        <x:f>IF(AND(H153="Completed",G153&lt;&gt;"",F153&lt;&gt;""),G153-F153,"")</x:f>
        <x:v>-1</x:v>
      </x:c>
      <x:c r="Q153" s="89" t="str">
        <x:f>IF(OR(H153="On Hold",AND(I153="High",N153&gt;7,H153&lt;&gt;"Completed")),"Critical",IF(OR(AND(N153&gt;=1,N153&lt;=7,H153&lt;&gt;"Completed"),AND(O153&gt;7,H153&lt;&gt;"Completed")),"Warning","Normal"))</x:f>
        <x:v>Normal</x:v>
      </x:c>
      <x:c r="R153" s="90" t="str">
        <x:f>IF(AND(I153="High",N153&gt;7,H153&lt;&gt;"Completed"),"High-priority activity overdue by more than 7 days",IF(H153="On Hold","Activity is on hold",IF(AND(O153&gt;7,H153&lt;&gt;"Completed"),"Open activity has a stale update (&gt;7 days)",IF(AND(N153&gt;=1,N153&lt;=7,H153&lt;&gt;"Completed"),"Open activity overdue by 1-7 days",""))))</x:f>
      </x:c>
    </x:row>
    <x:row r="154">
      <x:c r="A154" s="84" t="str">
        <x:v>ACT-0150</x:v>
      </x:c>
      <x:c r="B154" s="85" t="str">
        <x:v>QA/QC</x:v>
      </x:c>
      <x:c r="C154" s="85" t="str">
        <x:v>QA-B</x:v>
      </x:c>
      <x:c r="D154" s="85" t="str">
        <x:v>Inspection Request</x:v>
      </x:c>
      <x:c r="E154" s="86" t="n">
        <x:v>46259</x:v>
      </x:c>
      <x:c r="F154" s="86" t="n">
        <x:v>46283</x:v>
      </x:c>
      <x:c r="G154" s="86" t="n">
        <x:v>46266</x:v>
      </x:c>
      <x:c r="H154" s="85" t="str">
        <x:v>Completed</x:v>
      </x:c>
      <x:c r="I154" s="85" t="str">
        <x:v>Low</x:v>
      </x:c>
      <x:c r="J154" s="87" t="n">
        <x:v>100</x:v>
      </x:c>
      <x:c r="K154" s="85" t="str">
        <x:v>Documentation</x:v>
      </x:c>
      <x:c r="L154" s="86" t="n">
        <x:v>46263</x:v>
      </x:c>
      <x:c r="M154" s="85" t="str">
        <x:v>Team Lead A</x:v>
      </x:c>
      <x:c r="N154" s="88" t="n">
        <x:f>IF(AND(H154&lt;&gt;"Completed",F154&lt;'Summary'!$B$3),'Summary'!$B$3-F154,0)</x:f>
        <x:v>0</x:v>
      </x:c>
      <x:c r="O154" s="88" t="n">
        <x:f>'Summary'!$B$3-L154</x:f>
        <x:v>3</x:v>
      </x:c>
      <x:c r="P154" s="88" t="n">
        <x:f>IF(AND(H154="Completed",G154&lt;&gt;"",F154&lt;&gt;""),G154-F154,"")</x:f>
        <x:v>-17</x:v>
      </x:c>
      <x:c r="Q154" s="89" t="str">
        <x:f>IF(OR(H154="On Hold",AND(I154="High",N154&gt;7,H154&lt;&gt;"Completed")),"Critical",IF(OR(AND(N154&gt;=1,N154&lt;=7,H154&lt;&gt;"Completed"),AND(O154&gt;7,H154&lt;&gt;"Completed")),"Warning","Normal"))</x:f>
        <x:v>Normal</x:v>
      </x:c>
      <x:c r="R154" s="90" t="str">
        <x:f>IF(AND(I154="High",N154&gt;7,H154&lt;&gt;"Completed"),"High-priority activity overdue by more than 7 days",IF(H154="On Hold","Activity is on hold",IF(AND(O154&gt;7,H154&lt;&gt;"Completed"),"Open activity has a stale update (&gt;7 days)",IF(AND(N154&gt;=1,N154&lt;=7,H154&lt;&gt;"Completed"),"Open activity overdue by 1-7 days",""))))</x:f>
      </x:c>
    </x:row>
    <x:row r="155">
      <x:c r="A155" s="84" t="str">
        <x:v>ACT-0151</x:v>
      </x:c>
      <x:c r="B155" s="85" t="str">
        <x:v>Construction</x:v>
      </x:c>
      <x:c r="C155" s="85" t="str">
        <x:v>CONST-B</x:v>
      </x:c>
      <x:c r="D155" s="85" t="str">
        <x:v>Progress Update</x:v>
      </x:c>
      <x:c r="E155" s="86" t="n">
        <x:v>46176</x:v>
      </x:c>
      <x:c r="F155" s="86" t="n">
        <x:v>46190</x:v>
      </x:c>
      <x:c r="G155" s="86"/>
      <x:c r="H155" s="85" t="str">
        <x:v>In Progress</x:v>
      </x:c>
      <x:c r="I155" s="85" t="str">
        <x:v>Medium</x:v>
      </x:c>
      <x:c r="J155" s="87" t="n">
        <x:v>90</x:v>
      </x:c>
      <x:c r="K155" s="85" t="str">
        <x:v>Manpower</x:v>
      </x:c>
      <x:c r="L155" s="86" t="n">
        <x:v>46256</x:v>
      </x:c>
      <x:c r="M155" s="85" t="str">
        <x:v>Team Lead E</x:v>
      </x:c>
      <x:c r="N155" s="88" t="n">
        <x:f>IF(AND(H155&lt;&gt;"Completed",F155&lt;'Summary'!$B$3),'Summary'!$B$3-F155,0)</x:f>
        <x:v>76</x:v>
      </x:c>
      <x:c r="O155" s="88" t="n">
        <x:f>'Summary'!$B$3-L155</x:f>
        <x:v>10</x:v>
      </x:c>
      <x:c r="P155" s="88" t="str">
        <x:f>IF(AND(H155="Completed",G155&lt;&gt;"",F155&lt;&gt;""),G155-F155,"")</x:f>
      </x:c>
      <x:c r="Q155" s="89" t="str">
        <x:f>IF(OR(H155="On Hold",AND(I155="High",N155&gt;7,H155&lt;&gt;"Completed")),"Critical",IF(OR(AND(N155&gt;=1,N155&lt;=7,H155&lt;&gt;"Completed"),AND(O155&gt;7,H155&lt;&gt;"Completed")),"Warning","Normal"))</x:f>
        <x:v>Warning</x:v>
      </x:c>
      <x:c r="R155" s="90" t="str">
        <x:f>IF(AND(I155="High",N155&gt;7,H155&lt;&gt;"Completed"),"High-priority activity overdue by more than 7 days",IF(H155="On Hold","Activity is on hold",IF(AND(O155&gt;7,H155&lt;&gt;"Completed"),"Open activity has a stale update (&gt;7 days)",IF(AND(N155&gt;=1,N155&lt;=7,H155&lt;&gt;"Completed"),"Open activity overdue by 1-7 days",""))))</x:f>
        <x:v>Open activity has a stale update (&gt;7 days)</x:v>
      </x:c>
    </x:row>
    <x:row r="156">
      <x:c r="A156" s="84" t="str">
        <x:v>ACT-0152</x:v>
      </x:c>
      <x:c r="B156" s="85" t="str">
        <x:v>Project Controls</x:v>
      </x:c>
      <x:c r="C156" s="85" t="str">
        <x:v>PC-A</x:v>
      </x:c>
      <x:c r="D156" s="85" t="str">
        <x:v>Progress Update</x:v>
      </x:c>
      <x:c r="E156" s="86" t="n">
        <x:v>46179</x:v>
      </x:c>
      <x:c r="F156" s="86" t="n">
        <x:v>46193</x:v>
      </x:c>
      <x:c r="G156" s="86" t="n">
        <x:v>46193</x:v>
      </x:c>
      <x:c r="H156" s="85" t="str">
        <x:v>Completed</x:v>
      </x:c>
      <x:c r="I156" s="85" t="str">
        <x:v>Low</x:v>
      </x:c>
      <x:c r="J156" s="87" t="n">
        <x:v>100</x:v>
      </x:c>
      <x:c r="K156" s="85" t="str">
        <x:v>Access Constraint</x:v>
      </x:c>
      <x:c r="L156" s="86" t="n">
        <x:v>46190</x:v>
      </x:c>
      <x:c r="M156" s="85" t="str">
        <x:v>Team Lead D</x:v>
      </x:c>
      <x:c r="N156" s="88" t="n">
        <x:f>IF(AND(H156&lt;&gt;"Completed",F156&lt;'Summary'!$B$3),'Summary'!$B$3-F156,0)</x:f>
        <x:v>0</x:v>
      </x:c>
      <x:c r="O156" s="88" t="n">
        <x:f>'Summary'!$B$3-L156</x:f>
        <x:v>76</x:v>
      </x:c>
      <x:c r="P156" s="88" t="n">
        <x:f>IF(AND(H156="Completed",G156&lt;&gt;"",F156&lt;&gt;""),G156-F156,"")</x:f>
        <x:v>0</x:v>
      </x:c>
      <x:c r="Q156" s="89" t="str">
        <x:f>IF(OR(H156="On Hold",AND(I156="High",N156&gt;7,H156&lt;&gt;"Completed")),"Critical",IF(OR(AND(N156&gt;=1,N156&lt;=7,H156&lt;&gt;"Completed"),AND(O156&gt;7,H156&lt;&gt;"Completed")),"Warning","Normal"))</x:f>
        <x:v>Normal</x:v>
      </x:c>
      <x:c r="R156" s="90" t="str">
        <x:f>IF(AND(I156="High",N156&gt;7,H156&lt;&gt;"Completed"),"High-priority activity overdue by more than 7 days",IF(H156="On Hold","Activity is on hold",IF(AND(O156&gt;7,H156&lt;&gt;"Completed"),"Open activity has a stale update (&gt;7 days)",IF(AND(N156&gt;=1,N156&lt;=7,H156&lt;&gt;"Completed"),"Open activity overdue by 1-7 days",""))))</x:f>
      </x:c>
    </x:row>
    <x:row r="157">
      <x:c r="A157" s="84" t="str">
        <x:v>ACT-0153</x:v>
      </x:c>
      <x:c r="B157" s="85" t="str">
        <x:v>Construction</x:v>
      </x:c>
      <x:c r="C157" s="85" t="str">
        <x:v>CONST-A</x:v>
      </x:c>
      <x:c r="D157" s="85" t="str">
        <x:v>Field Installation</x:v>
      </x:c>
      <x:c r="E157" s="86" t="n">
        <x:v>46265</x:v>
      </x:c>
      <x:c r="F157" s="86" t="n">
        <x:v>46292</x:v>
      </x:c>
      <x:c r="G157" s="86"/>
      <x:c r="H157" s="85" t="str">
        <x:v>Not Started</x:v>
      </x:c>
      <x:c r="I157" s="85" t="str">
        <x:v>High</x:v>
      </x:c>
      <x:c r="J157" s="87" t="n">
        <x:v>0</x:v>
      </x:c>
      <x:c r="K157" s="85" t="str">
        <x:v>Documentation</x:v>
      </x:c>
      <x:c r="L157" s="86" t="n">
        <x:v>46262</x:v>
      </x:c>
      <x:c r="M157" s="85" t="str">
        <x:v>Team Lead A</x:v>
      </x:c>
      <x:c r="N157" s="88" t="n">
        <x:f>IF(AND(H157&lt;&gt;"Completed",F157&lt;'Summary'!$B$3),'Summary'!$B$3-F157,0)</x:f>
        <x:v>0</x:v>
      </x:c>
      <x:c r="O157" s="88" t="n">
        <x:f>'Summary'!$B$3-L157</x:f>
        <x:v>4</x:v>
      </x:c>
      <x:c r="P157" s="88" t="str">
        <x:f>IF(AND(H157="Completed",G157&lt;&gt;"",F157&lt;&gt;""),G157-F157,"")</x:f>
      </x:c>
      <x:c r="Q157" s="89" t="str">
        <x:f>IF(OR(H157="On Hold",AND(I157="High",N157&gt;7,H157&lt;&gt;"Completed")),"Critical",IF(OR(AND(N157&gt;=1,N157&lt;=7,H157&lt;&gt;"Completed"),AND(O157&gt;7,H157&lt;&gt;"Completed")),"Warning","Normal"))</x:f>
        <x:v>Normal</x:v>
      </x:c>
      <x:c r="R157" s="90" t="str">
        <x:f>IF(AND(I157="High",N157&gt;7,H157&lt;&gt;"Completed"),"High-priority activity overdue by more than 7 days",IF(H157="On Hold","Activity is on hold",IF(AND(O157&gt;7,H157&lt;&gt;"Completed"),"Open activity has a stale update (&gt;7 days)",IF(AND(N157&gt;=1,N157&lt;=7,H157&lt;&gt;"Completed"),"Open activity overdue by 1-7 days",""))))</x:f>
      </x:c>
    </x:row>
    <x:row r="158">
      <x:c r="A158" s="84" t="str">
        <x:v>ACT-0154</x:v>
      </x:c>
      <x:c r="B158" s="85" t="str">
        <x:v>QA/QC</x:v>
      </x:c>
      <x:c r="C158" s="85" t="str">
        <x:v>QA-B</x:v>
      </x:c>
      <x:c r="D158" s="85" t="str">
        <x:v>Quality Review</x:v>
      </x:c>
      <x:c r="E158" s="86" t="n">
        <x:v>46243</x:v>
      </x:c>
      <x:c r="F158" s="86" t="n">
        <x:v>46261</x:v>
      </x:c>
      <x:c r="G158" s="86" t="n">
        <x:v>46262</x:v>
      </x:c>
      <x:c r="H158" s="85" t="str">
        <x:v>Completed</x:v>
      </x:c>
      <x:c r="I158" s="85" t="str">
        <x:v>Low</x:v>
      </x:c>
      <x:c r="J158" s="87" t="n">
        <x:v>100</x:v>
      </x:c>
      <x:c r="K158" s="85" t="str">
        <x:v>None</x:v>
      </x:c>
      <x:c r="L158" s="86" t="n">
        <x:v>46260</x:v>
      </x:c>
      <x:c r="M158" s="85" t="str">
        <x:v>Team Lead A</x:v>
      </x:c>
      <x:c r="N158" s="88" t="n">
        <x:f>IF(AND(H158&lt;&gt;"Completed",F158&lt;'Summary'!$B$3),'Summary'!$B$3-F158,0)</x:f>
        <x:v>0</x:v>
      </x:c>
      <x:c r="O158" s="88" t="n">
        <x:f>'Summary'!$B$3-L158</x:f>
        <x:v>6</x:v>
      </x:c>
      <x:c r="P158" s="88" t="n">
        <x:f>IF(AND(H158="Completed",G158&lt;&gt;"",F158&lt;&gt;""),G158-F158,"")</x:f>
        <x:v>1</x:v>
      </x:c>
      <x:c r="Q158" s="89" t="str">
        <x:f>IF(OR(H158="On Hold",AND(I158="High",N158&gt;7,H158&lt;&gt;"Completed")),"Critical",IF(OR(AND(N158&gt;=1,N158&lt;=7,H158&lt;&gt;"Completed"),AND(O158&gt;7,H158&lt;&gt;"Completed")),"Warning","Normal"))</x:f>
        <x:v>Normal</x:v>
      </x:c>
      <x:c r="R158" s="90" t="str">
        <x:f>IF(AND(I158="High",N158&gt;7,H158&lt;&gt;"Completed"),"High-priority activity overdue by more than 7 days",IF(H158="On Hold","Activity is on hold",IF(AND(O158&gt;7,H158&lt;&gt;"Completed"),"Open activity has a stale update (&gt;7 days)",IF(AND(N158&gt;=1,N158&lt;=7,H158&lt;&gt;"Completed"),"Open activity overdue by 1-7 days",""))))</x:f>
      </x:c>
    </x:row>
    <x:row r="159">
      <x:c r="A159" s="84" t="str">
        <x:v>ACT-0155</x:v>
      </x:c>
      <x:c r="B159" s="85" t="str">
        <x:v>Procurement</x:v>
      </x:c>
      <x:c r="C159" s="85" t="str">
        <x:v>PROC-A</x:v>
      </x:c>
      <x:c r="D159" s="85" t="str">
        <x:v>Vendor Follow-up</x:v>
      </x:c>
      <x:c r="E159" s="86" t="n">
        <x:v>46189</x:v>
      </x:c>
      <x:c r="F159" s="86" t="n">
        <x:v>46217</x:v>
      </x:c>
      <x:c r="G159" s="86" t="n">
        <x:v>46226</x:v>
      </x:c>
      <x:c r="H159" s="85" t="str">
        <x:v>Completed</x:v>
      </x:c>
      <x:c r="I159" s="85" t="str">
        <x:v>Low</x:v>
      </x:c>
      <x:c r="J159" s="87" t="n">
        <x:v>100</x:v>
      </x:c>
      <x:c r="K159" s="85" t="str">
        <x:v>None</x:v>
      </x:c>
      <x:c r="L159" s="86" t="n">
        <x:v>46223</x:v>
      </x:c>
      <x:c r="M159" s="85" t="str">
        <x:v>Team Lead B</x:v>
      </x:c>
      <x:c r="N159" s="88" t="n">
        <x:f>IF(AND(H159&lt;&gt;"Completed",F159&lt;'Summary'!$B$3),'Summary'!$B$3-F159,0)</x:f>
        <x:v>0</x:v>
      </x:c>
      <x:c r="O159" s="88" t="n">
        <x:f>'Summary'!$B$3-L159</x:f>
        <x:v>43</x:v>
      </x:c>
      <x:c r="P159" s="88" t="n">
        <x:f>IF(AND(H159="Completed",G159&lt;&gt;"",F159&lt;&gt;""),G159-F159,"")</x:f>
        <x:v>9</x:v>
      </x:c>
      <x:c r="Q159" s="89" t="str">
        <x:f>IF(OR(H159="On Hold",AND(I159="High",N159&gt;7,H159&lt;&gt;"Completed")),"Critical",IF(OR(AND(N159&gt;=1,N159&lt;=7,H159&lt;&gt;"Completed"),AND(O159&gt;7,H159&lt;&gt;"Completed")),"Warning","Normal"))</x:f>
        <x:v>Normal</x:v>
      </x:c>
      <x:c r="R159" s="90" t="str">
        <x:f>IF(AND(I159="High",N159&gt;7,H159&lt;&gt;"Completed"),"High-priority activity overdue by more than 7 days",IF(H159="On Hold","Activity is on hold",IF(AND(O159&gt;7,H159&lt;&gt;"Completed"),"Open activity has a stale update (&gt;7 days)",IF(AND(N159&gt;=1,N159&lt;=7,H159&lt;&gt;"Completed"),"Open activity overdue by 1-7 days",""))))</x:f>
      </x:c>
    </x:row>
    <x:row r="160">
      <x:c r="A160" s="84" t="str">
        <x:v>ACT-0156</x:v>
      </x:c>
      <x:c r="B160" s="85" t="str">
        <x:v>Construction</x:v>
      </x:c>
      <x:c r="C160" s="85" t="str">
        <x:v>CONST-B</x:v>
      </x:c>
      <x:c r="D160" s="85" t="str">
        <x:v>Progress Update</x:v>
      </x:c>
      <x:c r="E160" s="86" t="n">
        <x:v>46240</x:v>
      </x:c>
      <x:c r="F160" s="86" t="n">
        <x:v>46251</x:v>
      </x:c>
      <x:c r="G160" s="86"/>
      <x:c r="H160" s="85" t="str">
        <x:v>In Progress</x:v>
      </x:c>
      <x:c r="I160" s="85" t="str">
        <x:v>Medium</x:v>
      </x:c>
      <x:c r="J160" s="87" t="n">
        <x:v>35</x:v>
      </x:c>
      <x:c r="K160" s="85" t="str">
        <x:v>Manpower</x:v>
      </x:c>
      <x:c r="L160" s="86" t="n">
        <x:v>46260</x:v>
      </x:c>
      <x:c r="M160" s="85" t="str">
        <x:v>Team Lead B</x:v>
      </x:c>
      <x:c r="N160" s="88" t="n">
        <x:f>IF(AND(H160&lt;&gt;"Completed",F160&lt;'Summary'!$B$3),'Summary'!$B$3-F160,0)</x:f>
        <x:v>15</x:v>
      </x:c>
      <x:c r="O160" s="88" t="n">
        <x:f>'Summary'!$B$3-L160</x:f>
        <x:v>6</x:v>
      </x:c>
      <x:c r="P160" s="88" t="str">
        <x:f>IF(AND(H160="Completed",G160&lt;&gt;"",F160&lt;&gt;""),G160-F160,"")</x:f>
      </x:c>
      <x:c r="Q160" s="89" t="str">
        <x:f>IF(OR(H160="On Hold",AND(I160="High",N160&gt;7,H160&lt;&gt;"Completed")),"Critical",IF(OR(AND(N160&gt;=1,N160&lt;=7,H160&lt;&gt;"Completed"),AND(O160&gt;7,H160&lt;&gt;"Completed")),"Warning","Normal"))</x:f>
        <x:v>Normal</x:v>
      </x:c>
      <x:c r="R160" s="90" t="str">
        <x:f>IF(AND(I160="High",N160&gt;7,H160&lt;&gt;"Completed"),"High-priority activity overdue by more than 7 days",IF(H160="On Hold","Activity is on hold",IF(AND(O160&gt;7,H160&lt;&gt;"Completed"),"Open activity has a stale update (&gt;7 days)",IF(AND(N160&gt;=1,N160&lt;=7,H160&lt;&gt;"Completed"),"Open activity overdue by 1-7 days",""))))</x:f>
      </x:c>
    </x:row>
    <x:row r="161">
      <x:c r="A161" s="84" t="str">
        <x:v>ACT-0157</x:v>
      </x:c>
      <x:c r="B161" s="85" t="str">
        <x:v>Construction</x:v>
      </x:c>
      <x:c r="C161" s="85" t="str">
        <x:v>CONST-B</x:v>
      </x:c>
      <x:c r="D161" s="85" t="str">
        <x:v>Field Installation</x:v>
      </x:c>
      <x:c r="E161" s="86" t="n">
        <x:v>46184</x:v>
      </x:c>
      <x:c r="F161" s="86" t="n">
        <x:v>46197</x:v>
      </x:c>
      <x:c r="G161" s="86" t="n">
        <x:v>46211</x:v>
      </x:c>
      <x:c r="H161" s="85" t="str">
        <x:v>Completed</x:v>
      </x:c>
      <x:c r="I161" s="85" t="str">
        <x:v>Medium</x:v>
      </x:c>
      <x:c r="J161" s="87" t="n">
        <x:v>100</x:v>
      </x:c>
      <x:c r="K161" s="85" t="str">
        <x:v>None</x:v>
      </x:c>
      <x:c r="L161" s="86" t="n">
        <x:v>46208</x:v>
      </x:c>
      <x:c r="M161" s="85" t="str">
        <x:v>Team Lead D</x:v>
      </x:c>
      <x:c r="N161" s="88" t="n">
        <x:f>IF(AND(H161&lt;&gt;"Completed",F161&lt;'Summary'!$B$3),'Summary'!$B$3-F161,0)</x:f>
        <x:v>0</x:v>
      </x:c>
      <x:c r="O161" s="88" t="n">
        <x:f>'Summary'!$B$3-L161</x:f>
        <x:v>58</x:v>
      </x:c>
      <x:c r="P161" s="88" t="n">
        <x:f>IF(AND(H161="Completed",G161&lt;&gt;"",F161&lt;&gt;""),G161-F161,"")</x:f>
        <x:v>14</x:v>
      </x:c>
      <x:c r="Q161" s="89" t="str">
        <x:f>IF(OR(H161="On Hold",AND(I161="High",N161&gt;7,H161&lt;&gt;"Completed")),"Critical",IF(OR(AND(N161&gt;=1,N161&lt;=7,H161&lt;&gt;"Completed"),AND(O161&gt;7,H161&lt;&gt;"Completed")),"Warning","Normal"))</x:f>
        <x:v>Normal</x:v>
      </x:c>
      <x:c r="R161" s="90" t="str">
        <x:f>IF(AND(I161="High",N161&gt;7,H161&lt;&gt;"Completed"),"High-priority activity overdue by more than 7 days",IF(H161="On Hold","Activity is on hold",IF(AND(O161&gt;7,H161&lt;&gt;"Completed"),"Open activity has a stale update (&gt;7 days)",IF(AND(N161&gt;=1,N161&lt;=7,H161&lt;&gt;"Completed"),"Open activity overdue by 1-7 days",""))))</x:f>
      </x:c>
    </x:row>
    <x:row r="162">
      <x:c r="A162" s="84" t="str">
        <x:v>ACT-0158</x:v>
      </x:c>
      <x:c r="B162" s="85" t="str">
        <x:v>QA/QC</x:v>
      </x:c>
      <x:c r="C162" s="85" t="str">
        <x:v>QA-A</x:v>
      </x:c>
      <x:c r="D162" s="85" t="str">
        <x:v>Punch Clearance</x:v>
      </x:c>
      <x:c r="E162" s="86" t="n">
        <x:v>46252</x:v>
      </x:c>
      <x:c r="F162" s="86" t="n">
        <x:v>46268</x:v>
      </x:c>
      <x:c r="G162" s="86"/>
      <x:c r="H162" s="85" t="str">
        <x:v>In Progress</x:v>
      </x:c>
      <x:c r="I162" s="85" t="str">
        <x:v>Low</x:v>
      </x:c>
      <x:c r="J162" s="87" t="n">
        <x:v>25</x:v>
      </x:c>
      <x:c r="K162" s="85" t="str">
        <x:v>Rework</x:v>
      </x:c>
      <x:c r="L162" s="86" t="n">
        <x:v>46265</x:v>
      </x:c>
      <x:c r="M162" s="85" t="str">
        <x:v>Team Lead D</x:v>
      </x:c>
      <x:c r="N162" s="88" t="n">
        <x:f>IF(AND(H162&lt;&gt;"Completed",F162&lt;'Summary'!$B$3),'Summary'!$B$3-F162,0)</x:f>
        <x:v>0</x:v>
      </x:c>
      <x:c r="O162" s="88" t="n">
        <x:f>'Summary'!$B$3-L162</x:f>
        <x:v>1</x:v>
      </x:c>
      <x:c r="P162" s="88" t="str">
        <x:f>IF(AND(H162="Completed",G162&lt;&gt;"",F162&lt;&gt;""),G162-F162,"")</x:f>
      </x:c>
      <x:c r="Q162" s="89" t="str">
        <x:f>IF(OR(H162="On Hold",AND(I162="High",N162&gt;7,H162&lt;&gt;"Completed")),"Critical",IF(OR(AND(N162&gt;=1,N162&lt;=7,H162&lt;&gt;"Completed"),AND(O162&gt;7,H162&lt;&gt;"Completed")),"Warning","Normal"))</x:f>
        <x:v>Normal</x:v>
      </x:c>
      <x:c r="R162" s="90" t="str">
        <x:f>IF(AND(I162="High",N162&gt;7,H162&lt;&gt;"Completed"),"High-priority activity overdue by more than 7 days",IF(H162="On Hold","Activity is on hold",IF(AND(O162&gt;7,H162&lt;&gt;"Completed"),"Open activity has a stale update (&gt;7 days)",IF(AND(N162&gt;=1,N162&lt;=7,H162&lt;&gt;"Completed"),"Open activity overdue by 1-7 days",""))))</x:f>
      </x:c>
    </x:row>
    <x:row r="163">
      <x:c r="A163" s="84" t="str">
        <x:v>ACT-0159</x:v>
      </x:c>
      <x:c r="B163" s="85" t="str">
        <x:v>QA/QC</x:v>
      </x:c>
      <x:c r="C163" s="85" t="str">
        <x:v>QA-A</x:v>
      </x:c>
      <x:c r="D163" s="85" t="str">
        <x:v>Test Package</x:v>
      </x:c>
      <x:c r="E163" s="86" t="n">
        <x:v>46192</x:v>
      </x:c>
      <x:c r="F163" s="86" t="n">
        <x:v>46214</x:v>
      </x:c>
      <x:c r="G163" s="86" t="n">
        <x:v>46213</x:v>
      </x:c>
      <x:c r="H163" s="85" t="str">
        <x:v>Completed</x:v>
      </x:c>
      <x:c r="I163" s="85" t="str">
        <x:v>Medium</x:v>
      </x:c>
      <x:c r="J163" s="87" t="n">
        <x:v>100</x:v>
      </x:c>
      <x:c r="K163" s="85" t="str">
        <x:v>None</x:v>
      </x:c>
      <x:c r="L163" s="86" t="n">
        <x:v>46213</x:v>
      </x:c>
      <x:c r="M163" s="85" t="str">
        <x:v>Team Lead F</x:v>
      </x:c>
      <x:c r="N163" s="88" t="n">
        <x:f>IF(AND(H163&lt;&gt;"Completed",F163&lt;'Summary'!$B$3),'Summary'!$B$3-F163,0)</x:f>
        <x:v>0</x:v>
      </x:c>
      <x:c r="O163" s="88" t="n">
        <x:f>'Summary'!$B$3-L163</x:f>
        <x:v>53</x:v>
      </x:c>
      <x:c r="P163" s="88" t="n">
        <x:f>IF(AND(H163="Completed",G163&lt;&gt;"",F163&lt;&gt;""),G163-F163,"")</x:f>
        <x:v>-1</x:v>
      </x:c>
      <x:c r="Q163" s="89" t="str">
        <x:f>IF(OR(H163="On Hold",AND(I163="High",N163&gt;7,H163&lt;&gt;"Completed")),"Critical",IF(OR(AND(N163&gt;=1,N163&lt;=7,H163&lt;&gt;"Completed"),AND(O163&gt;7,H163&lt;&gt;"Completed")),"Warning","Normal"))</x:f>
        <x:v>Normal</x:v>
      </x:c>
      <x:c r="R163" s="90" t="str">
        <x:f>IF(AND(I163="High",N163&gt;7,H163&lt;&gt;"Completed"),"High-priority activity overdue by more than 7 days",IF(H163="On Hold","Activity is on hold",IF(AND(O163&gt;7,H163&lt;&gt;"Completed"),"Open activity has a stale update (&gt;7 days)",IF(AND(N163&gt;=1,N163&lt;=7,H163&lt;&gt;"Completed"),"Open activity overdue by 1-7 days",""))))</x:f>
      </x:c>
    </x:row>
    <x:row r="164">
      <x:c r="A164" s="84" t="str">
        <x:v>ACT-0160</x:v>
      </x:c>
      <x:c r="B164" s="85" t="str">
        <x:v>QA/QC</x:v>
      </x:c>
      <x:c r="C164" s="85" t="str">
        <x:v>QA-B</x:v>
      </x:c>
      <x:c r="D164" s="85" t="str">
        <x:v>Test Package</x:v>
      </x:c>
      <x:c r="E164" s="86" t="n">
        <x:v>46251</x:v>
      </x:c>
      <x:c r="F164" s="86" t="n">
        <x:v>46258</x:v>
      </x:c>
      <x:c r="G164" s="86"/>
      <x:c r="H164" s="85" t="str">
        <x:v>In Progress</x:v>
      </x:c>
      <x:c r="I164" s="85" t="str">
        <x:v>Low</x:v>
      </x:c>
      <x:c r="J164" s="87" t="n">
        <x:v>60</x:v>
      </x:c>
      <x:c r="K164" s="85" t="str">
        <x:v>Rework</x:v>
      </x:c>
      <x:c r="L164" s="86" t="n">
        <x:v>46259</x:v>
      </x:c>
      <x:c r="M164" s="85" t="str">
        <x:v>Team Lead E</x:v>
      </x:c>
      <x:c r="N164" s="88" t="n">
        <x:f>IF(AND(H164&lt;&gt;"Completed",F164&lt;'Summary'!$B$3),'Summary'!$B$3-F164,0)</x:f>
        <x:v>8</x:v>
      </x:c>
      <x:c r="O164" s="88" t="n">
        <x:f>'Summary'!$B$3-L164</x:f>
        <x:v>7</x:v>
      </x:c>
      <x:c r="P164" s="88" t="str">
        <x:f>IF(AND(H164="Completed",G164&lt;&gt;"",F164&lt;&gt;""),G164-F164,"")</x:f>
      </x:c>
      <x:c r="Q164" s="89" t="str">
        <x:f>IF(OR(H164="On Hold",AND(I164="High",N164&gt;7,H164&lt;&gt;"Completed")),"Critical",IF(OR(AND(N164&gt;=1,N164&lt;=7,H164&lt;&gt;"Completed"),AND(O164&gt;7,H164&lt;&gt;"Completed")),"Warning","Normal"))</x:f>
        <x:v>Normal</x:v>
      </x:c>
      <x:c r="R164" s="90" t="str">
        <x:f>IF(AND(I164="High",N164&gt;7,H164&lt;&gt;"Completed"),"High-priority activity overdue by more than 7 days",IF(H164="On Hold","Activity is on hold",IF(AND(O164&gt;7,H164&lt;&gt;"Completed"),"Open activity has a stale update (&gt;7 days)",IF(AND(N164&gt;=1,N164&lt;=7,H164&lt;&gt;"Completed"),"Open activity overdue by 1-7 days",""))))</x:f>
      </x:c>
    </x:row>
    <x:row r="165">
      <x:c r="A165" s="84" t="str">
        <x:v>ACT-0161</x:v>
      </x:c>
      <x:c r="B165" s="85" t="str">
        <x:v>Engineering</x:v>
      </x:c>
      <x:c r="C165" s="85" t="str">
        <x:v>ENG-B</x:v>
      </x:c>
      <x:c r="D165" s="85" t="str">
        <x:v>Design Update</x:v>
      </x:c>
      <x:c r="E165" s="86" t="n">
        <x:v>46214</x:v>
      </x:c>
      <x:c r="F165" s="86" t="n">
        <x:v>46237</x:v>
      </x:c>
      <x:c r="G165" s="86" t="n">
        <x:v>46232</x:v>
      </x:c>
      <x:c r="H165" s="85" t="str">
        <x:v>Completed</x:v>
      </x:c>
      <x:c r="I165" s="85" t="str">
        <x:v>Low</x:v>
      </x:c>
      <x:c r="J165" s="87" t="n">
        <x:v>100</x:v>
      </x:c>
      <x:c r="K165" s="85" t="str">
        <x:v>None</x:v>
      </x:c>
      <x:c r="L165" s="86" t="n">
        <x:v>46231</x:v>
      </x:c>
      <x:c r="M165" s="85" t="str">
        <x:v>Team Lead D</x:v>
      </x:c>
      <x:c r="N165" s="88" t="n">
        <x:f>IF(AND(H165&lt;&gt;"Completed",F165&lt;'Summary'!$B$3),'Summary'!$B$3-F165,0)</x:f>
        <x:v>0</x:v>
      </x:c>
      <x:c r="O165" s="88" t="n">
        <x:f>'Summary'!$B$3-L165</x:f>
        <x:v>35</x:v>
      </x:c>
      <x:c r="P165" s="88" t="n">
        <x:f>IF(AND(H165="Completed",G165&lt;&gt;"",F165&lt;&gt;""),G165-F165,"")</x:f>
        <x:v>-5</x:v>
      </x:c>
      <x:c r="Q165" s="89" t="str">
        <x:f>IF(OR(H165="On Hold",AND(I165="High",N165&gt;7,H165&lt;&gt;"Completed")),"Critical",IF(OR(AND(N165&gt;=1,N165&lt;=7,H165&lt;&gt;"Completed"),AND(O165&gt;7,H165&lt;&gt;"Completed")),"Warning","Normal"))</x:f>
        <x:v>Normal</x:v>
      </x:c>
      <x:c r="R165" s="90" t="str">
        <x:f>IF(AND(I165="High",N165&gt;7,H165&lt;&gt;"Completed"),"High-priority activity overdue by more than 7 days",IF(H165="On Hold","Activity is on hold",IF(AND(O165&gt;7,H165&lt;&gt;"Completed"),"Open activity has a stale update (&gt;7 days)",IF(AND(N165&gt;=1,N165&lt;=7,H165&lt;&gt;"Completed"),"Open activity overdue by 1-7 days",""))))</x:f>
      </x:c>
    </x:row>
    <x:row r="166">
      <x:c r="A166" s="84" t="str">
        <x:v>ACT-0162</x:v>
      </x:c>
      <x:c r="B166" s="85" t="str">
        <x:v>Procurement</x:v>
      </x:c>
      <x:c r="C166" s="85" t="str">
        <x:v>PROC-A</x:v>
      </x:c>
      <x:c r="D166" s="85" t="str">
        <x:v>Vendor Follow-up</x:v>
      </x:c>
      <x:c r="E166" s="86" t="n">
        <x:v>46207</x:v>
      </x:c>
      <x:c r="F166" s="86" t="n">
        <x:v>46232</x:v>
      </x:c>
      <x:c r="G166" s="86" t="n">
        <x:v>46236</x:v>
      </x:c>
      <x:c r="H166" s="85" t="str">
        <x:v>Completed</x:v>
      </x:c>
      <x:c r="I166" s="85" t="str">
        <x:v>Low</x:v>
      </x:c>
      <x:c r="J166" s="87" t="n">
        <x:v>100</x:v>
      </x:c>
      <x:c r="K166" s="85" t="str">
        <x:v>None</x:v>
      </x:c>
      <x:c r="L166" s="86" t="n">
        <x:v>46233</x:v>
      </x:c>
      <x:c r="M166" s="85" t="str">
        <x:v>Team Lead B</x:v>
      </x:c>
      <x:c r="N166" s="88" t="n">
        <x:f>IF(AND(H166&lt;&gt;"Completed",F166&lt;'Summary'!$B$3),'Summary'!$B$3-F166,0)</x:f>
        <x:v>0</x:v>
      </x:c>
      <x:c r="O166" s="88" t="n">
        <x:f>'Summary'!$B$3-L166</x:f>
        <x:v>33</x:v>
      </x:c>
      <x:c r="P166" s="88" t="n">
        <x:f>IF(AND(H166="Completed",G166&lt;&gt;"",F166&lt;&gt;""),G166-F166,"")</x:f>
        <x:v>4</x:v>
      </x:c>
      <x:c r="Q166" s="89" t="str">
        <x:f>IF(OR(H166="On Hold",AND(I166="High",N166&gt;7,H166&lt;&gt;"Completed")),"Critical",IF(OR(AND(N166&gt;=1,N166&lt;=7,H166&lt;&gt;"Completed"),AND(O166&gt;7,H166&lt;&gt;"Completed")),"Warning","Normal"))</x:f>
        <x:v>Normal</x:v>
      </x:c>
      <x:c r="R166" s="90" t="str">
        <x:f>IF(AND(I166="High",N166&gt;7,H166&lt;&gt;"Completed"),"High-priority activity overdue by more than 7 days",IF(H166="On Hold","Activity is on hold",IF(AND(O166&gt;7,H166&lt;&gt;"Completed"),"Open activity has a stale update (&gt;7 days)",IF(AND(N166&gt;=1,N166&lt;=7,H166&lt;&gt;"Completed"),"Open activity overdue by 1-7 days",""))))</x:f>
      </x:c>
    </x:row>
    <x:row r="167">
      <x:c r="A167" s="84" t="str">
        <x:v>ACT-0163</x:v>
      </x:c>
      <x:c r="B167" s="85" t="str">
        <x:v>Procurement</x:v>
      </x:c>
      <x:c r="C167" s="85" t="str">
        <x:v>PROC-A</x:v>
      </x:c>
      <x:c r="D167" s="85" t="str">
        <x:v>Material Delivery</x:v>
      </x:c>
      <x:c r="E167" s="86" t="n">
        <x:v>46265</x:v>
      </x:c>
      <x:c r="F167" s="86" t="n">
        <x:v>46282</x:v>
      </x:c>
      <x:c r="G167" s="86"/>
      <x:c r="H167" s="85" t="str">
        <x:v>Not Started</x:v>
      </x:c>
      <x:c r="I167" s="85" t="str">
        <x:v>Low</x:v>
      </x:c>
      <x:c r="J167" s="87" t="n">
        <x:v>0</x:v>
      </x:c>
      <x:c r="K167" s="85" t="str">
        <x:v>Rework</x:v>
      </x:c>
      <x:c r="L167" s="86" t="n">
        <x:v>46252</x:v>
      </x:c>
      <x:c r="M167" s="85" t="str">
        <x:v>Team Lead E</x:v>
      </x:c>
      <x:c r="N167" s="88" t="n">
        <x:f>IF(AND(H167&lt;&gt;"Completed",F167&lt;'Summary'!$B$3),'Summary'!$B$3-F167,0)</x:f>
        <x:v>0</x:v>
      </x:c>
      <x:c r="O167" s="88" t="n">
        <x:f>'Summary'!$B$3-L167</x:f>
        <x:v>14</x:v>
      </x:c>
      <x:c r="P167" s="88" t="str">
        <x:f>IF(AND(H167="Completed",G167&lt;&gt;"",F167&lt;&gt;""),G167-F167,"")</x:f>
      </x:c>
      <x:c r="Q167" s="89" t="str">
        <x:f>IF(OR(H167="On Hold",AND(I167="High",N167&gt;7,H167&lt;&gt;"Completed")),"Critical",IF(OR(AND(N167&gt;=1,N167&lt;=7,H167&lt;&gt;"Completed"),AND(O167&gt;7,H167&lt;&gt;"Completed")),"Warning","Normal"))</x:f>
        <x:v>Warning</x:v>
      </x:c>
      <x:c r="R167" s="90" t="str">
        <x:f>IF(AND(I167="High",N167&gt;7,H167&lt;&gt;"Completed"),"High-priority activity overdue by more than 7 days",IF(H167="On Hold","Activity is on hold",IF(AND(O167&gt;7,H167&lt;&gt;"Completed"),"Open activity has a stale update (&gt;7 days)",IF(AND(N167&gt;=1,N167&lt;=7,H167&lt;&gt;"Completed"),"Open activity overdue by 1-7 days",""))))</x:f>
        <x:v>Open activity has a stale update (&gt;7 days)</x:v>
      </x:c>
    </x:row>
    <x:row r="168">
      <x:c r="A168" s="84" t="str">
        <x:v>ACT-0164</x:v>
      </x:c>
      <x:c r="B168" s="85" t="str">
        <x:v>Construction</x:v>
      </x:c>
      <x:c r="C168" s="85" t="str">
        <x:v>CONST-B</x:v>
      </x:c>
      <x:c r="D168" s="85" t="str">
        <x:v>Punch Clearance</x:v>
      </x:c>
      <x:c r="E168" s="86" t="n">
        <x:v>46265</x:v>
      </x:c>
      <x:c r="F168" s="86" t="n">
        <x:v>46290</x:v>
      </x:c>
      <x:c r="G168" s="86"/>
      <x:c r="H168" s="85" t="str">
        <x:v>Not Started</x:v>
      </x:c>
      <x:c r="I168" s="85" t="str">
        <x:v>Medium</x:v>
      </x:c>
      <x:c r="J168" s="87" t="n">
        <x:v>0</x:v>
      </x:c>
      <x:c r="K168" s="85" t="str">
        <x:v>None</x:v>
      </x:c>
      <x:c r="L168" s="86" t="n">
        <x:v>46256</x:v>
      </x:c>
      <x:c r="M168" s="85" t="str">
        <x:v>Team Lead B</x:v>
      </x:c>
      <x:c r="N168" s="88" t="n">
        <x:f>IF(AND(H168&lt;&gt;"Completed",F168&lt;'Summary'!$B$3),'Summary'!$B$3-F168,0)</x:f>
        <x:v>0</x:v>
      </x:c>
      <x:c r="O168" s="88" t="n">
        <x:f>'Summary'!$B$3-L168</x:f>
        <x:v>10</x:v>
      </x:c>
      <x:c r="P168" s="88" t="str">
        <x:f>IF(AND(H168="Completed",G168&lt;&gt;"",F168&lt;&gt;""),G168-F168,"")</x:f>
      </x:c>
      <x:c r="Q168" s="89" t="str">
        <x:f>IF(OR(H168="On Hold",AND(I168="High",N168&gt;7,H168&lt;&gt;"Completed")),"Critical",IF(OR(AND(N168&gt;=1,N168&lt;=7,H168&lt;&gt;"Completed"),AND(O168&gt;7,H168&lt;&gt;"Completed")),"Warning","Normal"))</x:f>
        <x:v>Warning</x:v>
      </x:c>
      <x:c r="R168" s="90" t="str">
        <x:f>IF(AND(I168="High",N168&gt;7,H168&lt;&gt;"Completed"),"High-priority activity overdue by more than 7 days",IF(H168="On Hold","Activity is on hold",IF(AND(O168&gt;7,H168&lt;&gt;"Completed"),"Open activity has a stale update (&gt;7 days)",IF(AND(N168&gt;=1,N168&lt;=7,H168&lt;&gt;"Completed"),"Open activity overdue by 1-7 days",""))))</x:f>
        <x:v>Open activity has a stale update (&gt;7 days)</x:v>
      </x:c>
    </x:row>
    <x:row r="169">
      <x:c r="A169" s="84" t="str">
        <x:v>ACT-0165</x:v>
      </x:c>
      <x:c r="B169" s="85" t="str">
        <x:v>Project Controls</x:v>
      </x:c>
      <x:c r="C169" s="85" t="str">
        <x:v>PC-A</x:v>
      </x:c>
      <x:c r="D169" s="85" t="str">
        <x:v>Schedule Review</x:v>
      </x:c>
      <x:c r="E169" s="86" t="n">
        <x:v>46177</x:v>
      </x:c>
      <x:c r="F169" s="86" t="n">
        <x:v>46191</x:v>
      </x:c>
      <x:c r="G169" s="86" t="n">
        <x:v>46203</x:v>
      </x:c>
      <x:c r="H169" s="85" t="str">
        <x:v>Completed</x:v>
      </x:c>
      <x:c r="I169" s="85" t="str">
        <x:v>Medium</x:v>
      </x:c>
      <x:c r="J169" s="87" t="n">
        <x:v>100</x:v>
      </x:c>
      <x:c r="K169" s="85" t="str">
        <x:v>Approval Delay</x:v>
      </x:c>
      <x:c r="L169" s="86" t="n">
        <x:v>46202</x:v>
      </x:c>
      <x:c r="M169" s="85" t="str">
        <x:v>Team Lead A</x:v>
      </x:c>
      <x:c r="N169" s="88" t="n">
        <x:f>IF(AND(H169&lt;&gt;"Completed",F169&lt;'Summary'!$B$3),'Summary'!$B$3-F169,0)</x:f>
        <x:v>0</x:v>
      </x:c>
      <x:c r="O169" s="88" t="n">
        <x:f>'Summary'!$B$3-L169</x:f>
        <x:v>64</x:v>
      </x:c>
      <x:c r="P169" s="88" t="n">
        <x:f>IF(AND(H169="Completed",G169&lt;&gt;"",F169&lt;&gt;""),G169-F169,"")</x:f>
        <x:v>12</x:v>
      </x:c>
      <x:c r="Q169" s="89" t="str">
        <x:f>IF(OR(H169="On Hold",AND(I169="High",N169&gt;7,H169&lt;&gt;"Completed")),"Critical",IF(OR(AND(N169&gt;=1,N169&lt;=7,H169&lt;&gt;"Completed"),AND(O169&gt;7,H169&lt;&gt;"Completed")),"Warning","Normal"))</x:f>
        <x:v>Normal</x:v>
      </x:c>
      <x:c r="R169" s="90" t="str">
        <x:f>IF(AND(I169="High",N169&gt;7,H169&lt;&gt;"Completed"),"High-priority activity overdue by more than 7 days",IF(H169="On Hold","Activity is on hold",IF(AND(O169&gt;7,H169&lt;&gt;"Completed"),"Open activity has a stale update (&gt;7 days)",IF(AND(N169&gt;=1,N169&lt;=7,H169&lt;&gt;"Completed"),"Open activity overdue by 1-7 days",""))))</x:f>
      </x:c>
    </x:row>
    <x:row r="170">
      <x:c r="A170" s="84" t="str">
        <x:v>ACT-0166</x:v>
      </x:c>
      <x:c r="B170" s="85" t="str">
        <x:v>Engineering</x:v>
      </x:c>
      <x:c r="C170" s="85" t="str">
        <x:v>ENG-B</x:v>
      </x:c>
      <x:c r="D170" s="85" t="str">
        <x:v>Design Update</x:v>
      </x:c>
      <x:c r="E170" s="86" t="n">
        <x:v>46241</x:v>
      </x:c>
      <x:c r="F170" s="86" t="n">
        <x:v>46257</x:v>
      </x:c>
      <x:c r="G170" s="86"/>
      <x:c r="H170" s="85" t="str">
        <x:v>In Progress</x:v>
      </x:c>
      <x:c r="I170" s="85" t="str">
        <x:v>Low</x:v>
      </x:c>
      <x:c r="J170" s="87" t="n">
        <x:v>35</x:v>
      </x:c>
      <x:c r="K170" s="85" t="str">
        <x:v>Access Constraint</x:v>
      </x:c>
      <x:c r="L170" s="86" t="n">
        <x:v>46264</x:v>
      </x:c>
      <x:c r="M170" s="85" t="str">
        <x:v>Team Lead F</x:v>
      </x:c>
      <x:c r="N170" s="88" t="n">
        <x:f>IF(AND(H170&lt;&gt;"Completed",F170&lt;'Summary'!$B$3),'Summary'!$B$3-F170,0)</x:f>
        <x:v>9</x:v>
      </x:c>
      <x:c r="O170" s="88" t="n">
        <x:f>'Summary'!$B$3-L170</x:f>
        <x:v>2</x:v>
      </x:c>
      <x:c r="P170" s="88" t="str">
        <x:f>IF(AND(H170="Completed",G170&lt;&gt;"",F170&lt;&gt;""),G170-F170,"")</x:f>
      </x:c>
      <x:c r="Q170" s="89" t="str">
        <x:f>IF(OR(H170="On Hold",AND(I170="High",N170&gt;7,H170&lt;&gt;"Completed")),"Critical",IF(OR(AND(N170&gt;=1,N170&lt;=7,H170&lt;&gt;"Completed"),AND(O170&gt;7,H170&lt;&gt;"Completed")),"Warning","Normal"))</x:f>
        <x:v>Normal</x:v>
      </x:c>
      <x:c r="R170" s="90" t="str">
        <x:f>IF(AND(I170="High",N170&gt;7,H170&lt;&gt;"Completed"),"High-priority activity overdue by more than 7 days",IF(H170="On Hold","Activity is on hold",IF(AND(O170&gt;7,H170&lt;&gt;"Completed"),"Open activity has a stale update (&gt;7 days)",IF(AND(N170&gt;=1,N170&lt;=7,H170&lt;&gt;"Completed"),"Open activity overdue by 1-7 days",""))))</x:f>
      </x:c>
    </x:row>
    <x:row r="171">
      <x:c r="A171" s="84" t="str">
        <x:v>ACT-0167</x:v>
      </x:c>
      <x:c r="B171" s="85" t="str">
        <x:v>Engineering</x:v>
      </x:c>
      <x:c r="C171" s="85" t="str">
        <x:v>ENG-B</x:v>
      </x:c>
      <x:c r="D171" s="85" t="str">
        <x:v>Technical Query</x:v>
      </x:c>
      <x:c r="E171" s="86" t="n">
        <x:v>46190</x:v>
      </x:c>
      <x:c r="F171" s="86" t="n">
        <x:v>46217</x:v>
      </x:c>
      <x:c r="G171" s="86" t="n">
        <x:v>46216</x:v>
      </x:c>
      <x:c r="H171" s="85" t="str">
        <x:v>Completed</x:v>
      </x:c>
      <x:c r="I171" s="85" t="str">
        <x:v>Medium</x:v>
      </x:c>
      <x:c r="J171" s="87" t="n">
        <x:v>100</x:v>
      </x:c>
      <x:c r="K171" s="85" t="str">
        <x:v>None</x:v>
      </x:c>
      <x:c r="L171" s="86" t="n">
        <x:v>46213</x:v>
      </x:c>
      <x:c r="M171" s="85" t="str">
        <x:v>Team Lead A</x:v>
      </x:c>
      <x:c r="N171" s="88" t="n">
        <x:f>IF(AND(H171&lt;&gt;"Completed",F171&lt;'Summary'!$B$3),'Summary'!$B$3-F171,0)</x:f>
        <x:v>0</x:v>
      </x:c>
      <x:c r="O171" s="88" t="n">
        <x:f>'Summary'!$B$3-L171</x:f>
        <x:v>53</x:v>
      </x:c>
      <x:c r="P171" s="88" t="n">
        <x:f>IF(AND(H171="Completed",G171&lt;&gt;"",F171&lt;&gt;""),G171-F171,"")</x:f>
        <x:v>-1</x:v>
      </x:c>
      <x:c r="Q171" s="89" t="str">
        <x:f>IF(OR(H171="On Hold",AND(I171="High",N171&gt;7,H171&lt;&gt;"Completed")),"Critical",IF(OR(AND(N171&gt;=1,N171&lt;=7,H171&lt;&gt;"Completed"),AND(O171&gt;7,H171&lt;&gt;"Completed")),"Warning","Normal"))</x:f>
        <x:v>Normal</x:v>
      </x:c>
      <x:c r="R171" s="90" t="str">
        <x:f>IF(AND(I171="High",N171&gt;7,H171&lt;&gt;"Completed"),"High-priority activity overdue by more than 7 days",IF(H171="On Hold","Activity is on hold",IF(AND(O171&gt;7,H171&lt;&gt;"Completed"),"Open activity has a stale update (&gt;7 days)",IF(AND(N171&gt;=1,N171&lt;=7,H171&lt;&gt;"Completed"),"Open activity overdue by 1-7 days",""))))</x:f>
      </x:c>
    </x:row>
    <x:row r="172">
      <x:c r="A172" s="84" t="str">
        <x:v>ACT-0168</x:v>
      </x:c>
      <x:c r="B172" s="85" t="str">
        <x:v>Project Controls</x:v>
      </x:c>
      <x:c r="C172" s="85" t="str">
        <x:v>PC-A</x:v>
      </x:c>
      <x:c r="D172" s="85" t="str">
        <x:v>Schedule Review</x:v>
      </x:c>
      <x:c r="E172" s="86" t="n">
        <x:v>46195</x:v>
      </x:c>
      <x:c r="F172" s="86" t="n">
        <x:v>46203</x:v>
      </x:c>
      <x:c r="G172" s="86" t="n">
        <x:v>46209</x:v>
      </x:c>
      <x:c r="H172" s="85" t="str">
        <x:v>Completed</x:v>
      </x:c>
      <x:c r="I172" s="85" t="str">
        <x:v>Medium</x:v>
      </x:c>
      <x:c r="J172" s="87" t="n">
        <x:v>100</x:v>
      </x:c>
      <x:c r="K172" s="85" t="str">
        <x:v>Documentation</x:v>
      </x:c>
      <x:c r="L172" s="86" t="n">
        <x:v>46205</x:v>
      </x:c>
      <x:c r="M172" s="85" t="str">
        <x:v>Team Lead A</x:v>
      </x:c>
      <x:c r="N172" s="88" t="n">
        <x:f>IF(AND(H172&lt;&gt;"Completed",F172&lt;'Summary'!$B$3),'Summary'!$B$3-F172,0)</x:f>
        <x:v>0</x:v>
      </x:c>
      <x:c r="O172" s="88" t="n">
        <x:f>'Summary'!$B$3-L172</x:f>
        <x:v>61</x:v>
      </x:c>
      <x:c r="P172" s="88" t="n">
        <x:f>IF(AND(H172="Completed",G172&lt;&gt;"",F172&lt;&gt;""),G172-F172,"")</x:f>
        <x:v>6</x:v>
      </x:c>
      <x:c r="Q172" s="89" t="str">
        <x:f>IF(OR(H172="On Hold",AND(I172="High",N172&gt;7,H172&lt;&gt;"Completed")),"Critical",IF(OR(AND(N172&gt;=1,N172&lt;=7,H172&lt;&gt;"Completed"),AND(O172&gt;7,H172&lt;&gt;"Completed")),"Warning","Normal"))</x:f>
        <x:v>Normal</x:v>
      </x:c>
      <x:c r="R172" s="90" t="str">
        <x:f>IF(AND(I172="High",N172&gt;7,H172&lt;&gt;"Completed"),"High-priority activity overdue by more than 7 days",IF(H172="On Hold","Activity is on hold",IF(AND(O172&gt;7,H172&lt;&gt;"Completed"),"Open activity has a stale update (&gt;7 days)",IF(AND(N172&gt;=1,N172&lt;=7,H172&lt;&gt;"Completed"),"Open activity overdue by 1-7 days",""))))</x:f>
      </x:c>
    </x:row>
    <x:row r="173">
      <x:c r="A173" s="84" t="str">
        <x:v>ACT-0169</x:v>
      </x:c>
      <x:c r="B173" s="85" t="str">
        <x:v>QA/QC</x:v>
      </x:c>
      <x:c r="C173" s="85" t="str">
        <x:v>QA-B</x:v>
      </x:c>
      <x:c r="D173" s="85" t="str">
        <x:v>Inspection Request</x:v>
      </x:c>
      <x:c r="E173" s="86" t="n">
        <x:v>46254</x:v>
      </x:c>
      <x:c r="F173" s="86" t="n">
        <x:v>46266</x:v>
      </x:c>
      <x:c r="G173" s="86"/>
      <x:c r="H173" s="85" t="str">
        <x:v>In Progress</x:v>
      </x:c>
      <x:c r="I173" s="85" t="str">
        <x:v>High</x:v>
      </x:c>
      <x:c r="J173" s="87" t="n">
        <x:v>85</x:v>
      </x:c>
      <x:c r="K173" s="85" t="str">
        <x:v>Manpower</x:v>
      </x:c>
      <x:c r="L173" s="86" t="n">
        <x:v>46264</x:v>
      </x:c>
      <x:c r="M173" s="85" t="str">
        <x:v>Team Lead E</x:v>
      </x:c>
      <x:c r="N173" s="88" t="n">
        <x:f>IF(AND(H173&lt;&gt;"Completed",F173&lt;'Summary'!$B$3),'Summary'!$B$3-F173,0)</x:f>
        <x:v>0</x:v>
      </x:c>
      <x:c r="O173" s="88" t="n">
        <x:f>'Summary'!$B$3-L173</x:f>
        <x:v>2</x:v>
      </x:c>
      <x:c r="P173" s="88" t="str">
        <x:f>IF(AND(H173="Completed",G173&lt;&gt;"",F173&lt;&gt;""),G173-F173,"")</x:f>
      </x:c>
      <x:c r="Q173" s="89" t="str">
        <x:f>IF(OR(H173="On Hold",AND(I173="High",N173&gt;7,H173&lt;&gt;"Completed")),"Critical",IF(OR(AND(N173&gt;=1,N173&lt;=7,H173&lt;&gt;"Completed"),AND(O173&gt;7,H173&lt;&gt;"Completed")),"Warning","Normal"))</x:f>
        <x:v>Normal</x:v>
      </x:c>
      <x:c r="R173" s="90" t="str">
        <x:f>IF(AND(I173="High",N173&gt;7,H173&lt;&gt;"Completed"),"High-priority activity overdue by more than 7 days",IF(H173="On Hold","Activity is on hold",IF(AND(O173&gt;7,H173&lt;&gt;"Completed"),"Open activity has a stale update (&gt;7 days)",IF(AND(N173&gt;=1,N173&lt;=7,H173&lt;&gt;"Completed"),"Open activity overdue by 1-7 days",""))))</x:f>
      </x:c>
    </x:row>
    <x:row r="174">
      <x:c r="A174" s="84" t="str">
        <x:v>ACT-0170</x:v>
      </x:c>
      <x:c r="B174" s="85" t="str">
        <x:v>Engineering</x:v>
      </x:c>
      <x:c r="C174" s="85" t="str">
        <x:v>ENG-B</x:v>
      </x:c>
      <x:c r="D174" s="85" t="str">
        <x:v>Drawing Review</x:v>
      </x:c>
      <x:c r="E174" s="86" t="n">
        <x:v>46177</x:v>
      </x:c>
      <x:c r="F174" s="86" t="n">
        <x:v>46182</x:v>
      </x:c>
      <x:c r="G174" s="86" t="n">
        <x:v>46195</x:v>
      </x:c>
      <x:c r="H174" s="85" t="str">
        <x:v>Completed</x:v>
      </x:c>
      <x:c r="I174" s="85" t="str">
        <x:v>Medium</x:v>
      </x:c>
      <x:c r="J174" s="87" t="n">
        <x:v>100</x:v>
      </x:c>
      <x:c r="K174" s="85" t="str">
        <x:v>Material Delay</x:v>
      </x:c>
      <x:c r="L174" s="86" t="n">
        <x:v>46193</x:v>
      </x:c>
      <x:c r="M174" s="85" t="str">
        <x:v>Team Lead E</x:v>
      </x:c>
      <x:c r="N174" s="88" t="n">
        <x:f>IF(AND(H174&lt;&gt;"Completed",F174&lt;'Summary'!$B$3),'Summary'!$B$3-F174,0)</x:f>
        <x:v>0</x:v>
      </x:c>
      <x:c r="O174" s="88" t="n">
        <x:f>'Summary'!$B$3-L174</x:f>
        <x:v>73</x:v>
      </x:c>
      <x:c r="P174" s="88" t="n">
        <x:f>IF(AND(H174="Completed",G174&lt;&gt;"",F174&lt;&gt;""),G174-F174,"")</x:f>
        <x:v>13</x:v>
      </x:c>
      <x:c r="Q174" s="89" t="str">
        <x:f>IF(OR(H174="On Hold",AND(I174="High",N174&gt;7,H174&lt;&gt;"Completed")),"Critical",IF(OR(AND(N174&gt;=1,N174&lt;=7,H174&lt;&gt;"Completed"),AND(O174&gt;7,H174&lt;&gt;"Completed")),"Warning","Normal"))</x:f>
        <x:v>Normal</x:v>
      </x:c>
      <x:c r="R174" s="90" t="str">
        <x:f>IF(AND(I174="High",N174&gt;7,H174&lt;&gt;"Completed"),"High-priority activity overdue by more than 7 days",IF(H174="On Hold","Activity is on hold",IF(AND(O174&gt;7,H174&lt;&gt;"Completed"),"Open activity has a stale update (&gt;7 days)",IF(AND(N174&gt;=1,N174&lt;=7,H174&lt;&gt;"Completed"),"Open activity overdue by 1-7 days",""))))</x:f>
      </x:c>
    </x:row>
    <x:row r="175">
      <x:c r="A175" s="84" t="str">
        <x:v>ACT-0171</x:v>
      </x:c>
      <x:c r="B175" s="85" t="str">
        <x:v>QA/QC</x:v>
      </x:c>
      <x:c r="C175" s="85" t="str">
        <x:v>QA-A</x:v>
      </x:c>
      <x:c r="D175" s="85" t="str">
        <x:v>Quality Review</x:v>
      </x:c>
      <x:c r="E175" s="86" t="n">
        <x:v>46254</x:v>
      </x:c>
      <x:c r="F175" s="86" t="n">
        <x:v>46274</x:v>
      </x:c>
      <x:c r="G175" s="86"/>
      <x:c r="H175" s="85" t="str">
        <x:v>In Progress</x:v>
      </x:c>
      <x:c r="I175" s="85" t="str">
        <x:v>Low</x:v>
      </x:c>
      <x:c r="J175" s="87" t="n">
        <x:v>70</x:v>
      </x:c>
      <x:c r="K175" s="85" t="str">
        <x:v>Documentation</x:v>
      </x:c>
      <x:c r="L175" s="86" t="n">
        <x:v>46263</x:v>
      </x:c>
      <x:c r="M175" s="85" t="str">
        <x:v>Team Lead F</x:v>
      </x:c>
      <x:c r="N175" s="88" t="n">
        <x:f>IF(AND(H175&lt;&gt;"Completed",F175&lt;'Summary'!$B$3),'Summary'!$B$3-F175,0)</x:f>
        <x:v>0</x:v>
      </x:c>
      <x:c r="O175" s="88" t="n">
        <x:f>'Summary'!$B$3-L175</x:f>
        <x:v>3</x:v>
      </x:c>
      <x:c r="P175" s="88" t="str">
        <x:f>IF(AND(H175="Completed",G175&lt;&gt;"",F175&lt;&gt;""),G175-F175,"")</x:f>
      </x:c>
      <x:c r="Q175" s="89" t="str">
        <x:f>IF(OR(H175="On Hold",AND(I175="High",N175&gt;7,H175&lt;&gt;"Completed")),"Critical",IF(OR(AND(N175&gt;=1,N175&lt;=7,H175&lt;&gt;"Completed"),AND(O175&gt;7,H175&lt;&gt;"Completed")),"Warning","Normal"))</x:f>
        <x:v>Normal</x:v>
      </x:c>
      <x:c r="R175" s="90" t="str">
        <x:f>IF(AND(I175="High",N175&gt;7,H175&lt;&gt;"Completed"),"High-priority activity overdue by more than 7 days",IF(H175="On Hold","Activity is on hold",IF(AND(O175&gt;7,H175&lt;&gt;"Completed"),"Open activity has a stale update (&gt;7 days)",IF(AND(N175&gt;=1,N175&lt;=7,H175&lt;&gt;"Completed"),"Open activity overdue by 1-7 days",""))))</x:f>
      </x:c>
    </x:row>
    <x:row r="176">
      <x:c r="A176" s="84" t="str">
        <x:v>ACT-0172</x:v>
      </x:c>
      <x:c r="B176" s="85" t="str">
        <x:v>QA/QC</x:v>
      </x:c>
      <x:c r="C176" s="85" t="str">
        <x:v>QA-B</x:v>
      </x:c>
      <x:c r="D176" s="85" t="str">
        <x:v>Test Package</x:v>
      </x:c>
      <x:c r="E176" s="86" t="n">
        <x:v>46262</x:v>
      </x:c>
      <x:c r="F176" s="86" t="n">
        <x:v>46266</x:v>
      </x:c>
      <x:c r="G176" s="86"/>
      <x:c r="H176" s="85" t="str">
        <x:v>In Progress</x:v>
      </x:c>
      <x:c r="I176" s="85" t="str">
        <x:v>Medium</x:v>
      </x:c>
      <x:c r="J176" s="87" t="n">
        <x:v>70</x:v>
      </x:c>
      <x:c r="K176" s="85" t="str">
        <x:v>Approval Delay</x:v>
      </x:c>
      <x:c r="L176" s="86" t="n">
        <x:v>46263</x:v>
      </x:c>
      <x:c r="M176" s="85" t="str">
        <x:v>Team Lead B</x:v>
      </x:c>
      <x:c r="N176" s="88" t="n">
        <x:f>IF(AND(H176&lt;&gt;"Completed",F176&lt;'Summary'!$B$3),'Summary'!$B$3-F176,0)</x:f>
        <x:v>0</x:v>
      </x:c>
      <x:c r="O176" s="88" t="n">
        <x:f>'Summary'!$B$3-L176</x:f>
        <x:v>3</x:v>
      </x:c>
      <x:c r="P176" s="88" t="str">
        <x:f>IF(AND(H176="Completed",G176&lt;&gt;"",F176&lt;&gt;""),G176-F176,"")</x:f>
      </x:c>
      <x:c r="Q176" s="89" t="str">
        <x:f>IF(OR(H176="On Hold",AND(I176="High",N176&gt;7,H176&lt;&gt;"Completed")),"Critical",IF(OR(AND(N176&gt;=1,N176&lt;=7,H176&lt;&gt;"Completed"),AND(O176&gt;7,H176&lt;&gt;"Completed")),"Warning","Normal"))</x:f>
        <x:v>Normal</x:v>
      </x:c>
      <x:c r="R176" s="90" t="str">
        <x:f>IF(AND(I176="High",N176&gt;7,H176&lt;&gt;"Completed"),"High-priority activity overdue by more than 7 days",IF(H176="On Hold","Activity is on hold",IF(AND(O176&gt;7,H176&lt;&gt;"Completed"),"Open activity has a stale update (&gt;7 days)",IF(AND(N176&gt;=1,N176&lt;=7,H176&lt;&gt;"Completed"),"Open activity overdue by 1-7 days",""))))</x:f>
      </x:c>
    </x:row>
    <x:row r="177">
      <x:c r="A177" s="84" t="str">
        <x:v>ACT-0173</x:v>
      </x:c>
      <x:c r="B177" s="85" t="str">
        <x:v>QA/QC</x:v>
      </x:c>
      <x:c r="C177" s="85" t="str">
        <x:v>QA-B</x:v>
      </x:c>
      <x:c r="D177" s="85" t="str">
        <x:v>Punch Clearance</x:v>
      </x:c>
      <x:c r="E177" s="86" t="n">
        <x:v>46225</x:v>
      </x:c>
      <x:c r="F177" s="86" t="n">
        <x:v>46232</x:v>
      </x:c>
      <x:c r="G177" s="86"/>
      <x:c r="H177" s="85" t="str">
        <x:v>In Progress</x:v>
      </x:c>
      <x:c r="I177" s="85" t="str">
        <x:v>Medium</x:v>
      </x:c>
      <x:c r="J177" s="87" t="n">
        <x:v>35</x:v>
      </x:c>
      <x:c r="K177" s="85" t="str">
        <x:v>None</x:v>
      </x:c>
      <x:c r="L177" s="86" t="n">
        <x:v>46261</x:v>
      </x:c>
      <x:c r="M177" s="85" t="str">
        <x:v>Team Lead A</x:v>
      </x:c>
      <x:c r="N177" s="88" t="n">
        <x:f>IF(AND(H177&lt;&gt;"Completed",F177&lt;'Summary'!$B$3),'Summary'!$B$3-F177,0)</x:f>
        <x:v>34</x:v>
      </x:c>
      <x:c r="O177" s="88" t="n">
        <x:f>'Summary'!$B$3-L177</x:f>
        <x:v>5</x:v>
      </x:c>
      <x:c r="P177" s="88" t="str">
        <x:f>IF(AND(H177="Completed",G177&lt;&gt;"",F177&lt;&gt;""),G177-F177,"")</x:f>
      </x:c>
      <x:c r="Q177" s="89" t="str">
        <x:f>IF(OR(H177="On Hold",AND(I177="High",N177&gt;7,H177&lt;&gt;"Completed")),"Critical",IF(OR(AND(N177&gt;=1,N177&lt;=7,H177&lt;&gt;"Completed"),AND(O177&gt;7,H177&lt;&gt;"Completed")),"Warning","Normal"))</x:f>
        <x:v>Normal</x:v>
      </x:c>
      <x:c r="R177" s="90" t="str">
        <x:f>IF(AND(I177="High",N177&gt;7,H177&lt;&gt;"Completed"),"High-priority activity overdue by more than 7 days",IF(H177="On Hold","Activity is on hold",IF(AND(O177&gt;7,H177&lt;&gt;"Completed"),"Open activity has a stale update (&gt;7 days)",IF(AND(N177&gt;=1,N177&lt;=7,H177&lt;&gt;"Completed"),"Open activity overdue by 1-7 days",""))))</x:f>
      </x:c>
    </x:row>
    <x:row r="178">
      <x:c r="A178" s="84" t="str">
        <x:v>ACT-0174</x:v>
      </x:c>
      <x:c r="B178" s="85" t="str">
        <x:v>QA/QC</x:v>
      </x:c>
      <x:c r="C178" s="85" t="str">
        <x:v>QA-A</x:v>
      </x:c>
      <x:c r="D178" s="85" t="str">
        <x:v>Inspection Request</x:v>
      </x:c>
      <x:c r="E178" s="86" t="n">
        <x:v>46186</x:v>
      </x:c>
      <x:c r="F178" s="86" t="n">
        <x:v>46190</x:v>
      </x:c>
      <x:c r="G178" s="86" t="n">
        <x:v>46204</x:v>
      </x:c>
      <x:c r="H178" s="85" t="str">
        <x:v>Completed</x:v>
      </x:c>
      <x:c r="I178" s="85" t="str">
        <x:v>Medium</x:v>
      </x:c>
      <x:c r="J178" s="87" t="n">
        <x:v>100</x:v>
      </x:c>
      <x:c r="K178" s="85" t="str">
        <x:v>None</x:v>
      </x:c>
      <x:c r="L178" s="86" t="n">
        <x:v>46201</x:v>
      </x:c>
      <x:c r="M178" s="85" t="str">
        <x:v>Team Lead B</x:v>
      </x:c>
      <x:c r="N178" s="88" t="n">
        <x:f>IF(AND(H178&lt;&gt;"Completed",F178&lt;'Summary'!$B$3),'Summary'!$B$3-F178,0)</x:f>
        <x:v>0</x:v>
      </x:c>
      <x:c r="O178" s="88" t="n">
        <x:f>'Summary'!$B$3-L178</x:f>
        <x:v>65</x:v>
      </x:c>
      <x:c r="P178" s="88" t="n">
        <x:f>IF(AND(H178="Completed",G178&lt;&gt;"",F178&lt;&gt;""),G178-F178,"")</x:f>
        <x:v>14</x:v>
      </x:c>
      <x:c r="Q178" s="89" t="str">
        <x:f>IF(OR(H178="On Hold",AND(I178="High",N178&gt;7,H178&lt;&gt;"Completed")),"Critical",IF(OR(AND(N178&gt;=1,N178&lt;=7,H178&lt;&gt;"Completed"),AND(O178&gt;7,H178&lt;&gt;"Completed")),"Warning","Normal"))</x:f>
        <x:v>Normal</x:v>
      </x:c>
      <x:c r="R178" s="90" t="str">
        <x:f>IF(AND(I178="High",N178&gt;7,H178&lt;&gt;"Completed"),"High-priority activity overdue by more than 7 days",IF(H178="On Hold","Activity is on hold",IF(AND(O178&gt;7,H178&lt;&gt;"Completed"),"Open activity has a stale update (&gt;7 days)",IF(AND(N178&gt;=1,N178&lt;=7,H178&lt;&gt;"Completed"),"Open activity overdue by 1-7 days",""))))</x:f>
      </x:c>
    </x:row>
    <x:row r="179">
      <x:c r="A179" s="84" t="str">
        <x:v>ACT-0175</x:v>
      </x:c>
      <x:c r="B179" s="85" t="str">
        <x:v>Project Controls</x:v>
      </x:c>
      <x:c r="C179" s="85" t="str">
        <x:v>PC-A</x:v>
      </x:c>
      <x:c r="D179" s="85" t="str">
        <x:v>Progress Update</x:v>
      </x:c>
      <x:c r="E179" s="86" t="n">
        <x:v>46194</x:v>
      </x:c>
      <x:c r="F179" s="86" t="n">
        <x:v>46212</x:v>
      </x:c>
      <x:c r="G179" s="86"/>
      <x:c r="H179" s="85" t="str">
        <x:v>On Hold</x:v>
      </x:c>
      <x:c r="I179" s="85" t="str">
        <x:v>Medium</x:v>
      </x:c>
      <x:c r="J179" s="87" t="n">
        <x:v>30</x:v>
      </x:c>
      <x:c r="K179" s="85" t="str">
        <x:v>Approval Delay</x:v>
      </x:c>
      <x:c r="L179" s="86" t="n">
        <x:v>46246</x:v>
      </x:c>
      <x:c r="M179" s="85" t="str">
        <x:v>Team Lead D</x:v>
      </x:c>
      <x:c r="N179" s="88" t="n">
        <x:f>IF(AND(H179&lt;&gt;"Completed",F179&lt;'Summary'!$B$3),'Summary'!$B$3-F179,0)</x:f>
        <x:v>54</x:v>
      </x:c>
      <x:c r="O179" s="88" t="n">
        <x:f>'Summary'!$B$3-L179</x:f>
        <x:v>20</x:v>
      </x:c>
      <x:c r="P179" s="88" t="str">
        <x:f>IF(AND(H179="Completed",G179&lt;&gt;"",F179&lt;&gt;""),G179-F179,"")</x:f>
      </x:c>
      <x:c r="Q179" s="89" t="str">
        <x:f>IF(OR(H179="On Hold",AND(I179="High",N179&gt;7,H179&lt;&gt;"Completed")),"Critical",IF(OR(AND(N179&gt;=1,N179&lt;=7,H179&lt;&gt;"Completed"),AND(O179&gt;7,H179&lt;&gt;"Completed")),"Warning","Normal"))</x:f>
        <x:v>Critical</x:v>
      </x:c>
      <x:c r="R179" s="90" t="str">
        <x:f>IF(AND(I179="High",N179&gt;7,H179&lt;&gt;"Completed"),"High-priority activity overdue by more than 7 days",IF(H179="On Hold","Activity is on hold",IF(AND(O179&gt;7,H179&lt;&gt;"Completed"),"Open activity has a stale update (&gt;7 days)",IF(AND(N179&gt;=1,N179&lt;=7,H179&lt;&gt;"Completed"),"Open activity overdue by 1-7 days",""))))</x:f>
        <x:v>Activity is on hold</x:v>
      </x:c>
    </x:row>
    <x:row r="180">
      <x:c r="A180" s="84" t="str">
        <x:v>ACT-0176</x:v>
      </x:c>
      <x:c r="B180" s="85" t="str">
        <x:v>Construction</x:v>
      </x:c>
      <x:c r="C180" s="85" t="str">
        <x:v>CONST-A</x:v>
      </x:c>
      <x:c r="D180" s="85" t="str">
        <x:v>Punch Clearance</x:v>
      </x:c>
      <x:c r="E180" s="86" t="n">
        <x:v>46248</x:v>
      </x:c>
      <x:c r="F180" s="86" t="n">
        <x:v>46262</x:v>
      </x:c>
      <x:c r="G180" s="86" t="n">
        <x:v>46263</x:v>
      </x:c>
      <x:c r="H180" s="85" t="str">
        <x:v>Completed</x:v>
      </x:c>
      <x:c r="I180" s="85" t="str">
        <x:v>Medium</x:v>
      </x:c>
      <x:c r="J180" s="87" t="n">
        <x:v>100</x:v>
      </x:c>
      <x:c r="K180" s="85" t="str">
        <x:v>None</x:v>
      </x:c>
      <x:c r="L180" s="86" t="n">
        <x:v>46261</x:v>
      </x:c>
      <x:c r="M180" s="85" t="str">
        <x:v>Team Lead A</x:v>
      </x:c>
      <x:c r="N180" s="88" t="n">
        <x:f>IF(AND(H180&lt;&gt;"Completed",F180&lt;'Summary'!$B$3),'Summary'!$B$3-F180,0)</x:f>
        <x:v>0</x:v>
      </x:c>
      <x:c r="O180" s="88" t="n">
        <x:f>'Summary'!$B$3-L180</x:f>
        <x:v>5</x:v>
      </x:c>
      <x:c r="P180" s="88" t="n">
        <x:f>IF(AND(H180="Completed",G180&lt;&gt;"",F180&lt;&gt;""),G180-F180,"")</x:f>
        <x:v>1</x:v>
      </x:c>
      <x:c r="Q180" s="89" t="str">
        <x:f>IF(OR(H180="On Hold",AND(I180="High",N180&gt;7,H180&lt;&gt;"Completed")),"Critical",IF(OR(AND(N180&gt;=1,N180&lt;=7,H180&lt;&gt;"Completed"),AND(O180&gt;7,H180&lt;&gt;"Completed")),"Warning","Normal"))</x:f>
        <x:v>Normal</x:v>
      </x:c>
      <x:c r="R180" s="90" t="str">
        <x:f>IF(AND(I180="High",N180&gt;7,H180&lt;&gt;"Completed"),"High-priority activity overdue by more than 7 days",IF(H180="On Hold","Activity is on hold",IF(AND(O180&gt;7,H180&lt;&gt;"Completed"),"Open activity has a stale update (&gt;7 days)",IF(AND(N180&gt;=1,N180&lt;=7,H180&lt;&gt;"Completed"),"Open activity overdue by 1-7 days",""))))</x:f>
      </x:c>
    </x:row>
    <x:row r="181">
      <x:c r="A181" s="84" t="str">
        <x:v>ACT-0177</x:v>
      </x:c>
      <x:c r="B181" s="85" t="str">
        <x:v>QA/QC</x:v>
      </x:c>
      <x:c r="C181" s="85" t="str">
        <x:v>QA-B</x:v>
      </x:c>
      <x:c r="D181" s="85" t="str">
        <x:v>Punch Clearance</x:v>
      </x:c>
      <x:c r="E181" s="86" t="n">
        <x:v>46225</x:v>
      </x:c>
      <x:c r="F181" s="86" t="n">
        <x:v>46239</x:v>
      </x:c>
      <x:c r="G181" s="86" t="n">
        <x:v>46251</x:v>
      </x:c>
      <x:c r="H181" s="85" t="str">
        <x:v>Completed</x:v>
      </x:c>
      <x:c r="I181" s="85" t="str">
        <x:v>High</x:v>
      </x:c>
      <x:c r="J181" s="87" t="n">
        <x:v>100</x:v>
      </x:c>
      <x:c r="K181" s="85" t="str">
        <x:v>None</x:v>
      </x:c>
      <x:c r="L181" s="86" t="n">
        <x:v>46250</x:v>
      </x:c>
      <x:c r="M181" s="85" t="str">
        <x:v>Team Lead C</x:v>
      </x:c>
      <x:c r="N181" s="88" t="n">
        <x:f>IF(AND(H181&lt;&gt;"Completed",F181&lt;'Summary'!$B$3),'Summary'!$B$3-F181,0)</x:f>
        <x:v>0</x:v>
      </x:c>
      <x:c r="O181" s="88" t="n">
        <x:f>'Summary'!$B$3-L181</x:f>
        <x:v>16</x:v>
      </x:c>
      <x:c r="P181" s="88" t="n">
        <x:f>IF(AND(H181="Completed",G181&lt;&gt;"",F181&lt;&gt;""),G181-F181,"")</x:f>
        <x:v>12</x:v>
      </x:c>
      <x:c r="Q181" s="89" t="str">
        <x:f>IF(OR(H181="On Hold",AND(I181="High",N181&gt;7,H181&lt;&gt;"Completed")),"Critical",IF(OR(AND(N181&gt;=1,N181&lt;=7,H181&lt;&gt;"Completed"),AND(O181&gt;7,H181&lt;&gt;"Completed")),"Warning","Normal"))</x:f>
        <x:v>Normal</x:v>
      </x:c>
      <x:c r="R181" s="90" t="str">
        <x:f>IF(AND(I181="High",N181&gt;7,H181&lt;&gt;"Completed"),"High-priority activity overdue by more than 7 days",IF(H181="On Hold","Activity is on hold",IF(AND(O181&gt;7,H181&lt;&gt;"Completed"),"Open activity has a stale update (&gt;7 days)",IF(AND(N181&gt;=1,N181&lt;=7,H181&lt;&gt;"Completed"),"Open activity overdue by 1-7 days",""))))</x:f>
      </x:c>
    </x:row>
    <x:row r="182">
      <x:c r="A182" s="84" t="str">
        <x:v>ACT-0178</x:v>
      </x:c>
      <x:c r="B182" s="85" t="str">
        <x:v>Engineering</x:v>
      </x:c>
      <x:c r="C182" s="85" t="str">
        <x:v>ENG-B</x:v>
      </x:c>
      <x:c r="D182" s="85" t="str">
        <x:v>Technical Query</x:v>
      </x:c>
      <x:c r="E182" s="86" t="n">
        <x:v>46253</x:v>
      </x:c>
      <x:c r="F182" s="86" t="n">
        <x:v>46277</x:v>
      </x:c>
      <x:c r="G182" s="86"/>
      <x:c r="H182" s="85" t="str">
        <x:v>In Progress</x:v>
      </x:c>
      <x:c r="I182" s="85" t="str">
        <x:v>High</x:v>
      </x:c>
      <x:c r="J182" s="87" t="n">
        <x:v>35</x:v>
      </x:c>
      <x:c r="K182" s="85" t="str">
        <x:v>Approval Delay</x:v>
      </x:c>
      <x:c r="L182" s="86" t="n">
        <x:v>46260</x:v>
      </x:c>
      <x:c r="M182" s="85" t="str">
        <x:v>Team Lead C</x:v>
      </x:c>
      <x:c r="N182" s="88" t="n">
        <x:f>IF(AND(H182&lt;&gt;"Completed",F182&lt;'Summary'!$B$3),'Summary'!$B$3-F182,0)</x:f>
        <x:v>0</x:v>
      </x:c>
      <x:c r="O182" s="88" t="n">
        <x:f>'Summary'!$B$3-L182</x:f>
        <x:v>6</x:v>
      </x:c>
      <x:c r="P182" s="88" t="str">
        <x:f>IF(AND(H182="Completed",G182&lt;&gt;"",F182&lt;&gt;""),G182-F182,"")</x:f>
      </x:c>
      <x:c r="Q182" s="89" t="str">
        <x:f>IF(OR(H182="On Hold",AND(I182="High",N182&gt;7,H182&lt;&gt;"Completed")),"Critical",IF(OR(AND(N182&gt;=1,N182&lt;=7,H182&lt;&gt;"Completed"),AND(O182&gt;7,H182&lt;&gt;"Completed")),"Warning","Normal"))</x:f>
        <x:v>Normal</x:v>
      </x:c>
      <x:c r="R182" s="90" t="str">
        <x:f>IF(AND(I182="High",N182&gt;7,H182&lt;&gt;"Completed"),"High-priority activity overdue by more than 7 days",IF(H182="On Hold","Activity is on hold",IF(AND(O182&gt;7,H182&lt;&gt;"Completed"),"Open activity has a stale update (&gt;7 days)",IF(AND(N182&gt;=1,N182&lt;=7,H182&lt;&gt;"Completed"),"Open activity overdue by 1-7 days",""))))</x:f>
      </x:c>
    </x:row>
    <x:row r="183">
      <x:c r="A183" s="84" t="str">
        <x:v>ACT-0179</x:v>
      </x:c>
      <x:c r="B183" s="85" t="str">
        <x:v>Construction</x:v>
      </x:c>
      <x:c r="C183" s="85" t="str">
        <x:v>CONST-B</x:v>
      </x:c>
      <x:c r="D183" s="85" t="str">
        <x:v>Punch Clearance</x:v>
      </x:c>
      <x:c r="E183" s="86" t="n">
        <x:v>46199</x:v>
      </x:c>
      <x:c r="F183" s="86" t="n">
        <x:v>46221</x:v>
      </x:c>
      <x:c r="G183" s="86" t="n">
        <x:v>46217</x:v>
      </x:c>
      <x:c r="H183" s="85" t="str">
        <x:v>Completed</x:v>
      </x:c>
      <x:c r="I183" s="85" t="str">
        <x:v>Medium</x:v>
      </x:c>
      <x:c r="J183" s="87" t="n">
        <x:v>100</x:v>
      </x:c>
      <x:c r="K183" s="85" t="str">
        <x:v>None</x:v>
      </x:c>
      <x:c r="L183" s="86" t="n">
        <x:v>46217</x:v>
      </x:c>
      <x:c r="M183" s="85" t="str">
        <x:v>Team Lead C</x:v>
      </x:c>
      <x:c r="N183" s="88" t="n">
        <x:f>IF(AND(H183&lt;&gt;"Completed",F183&lt;'Summary'!$B$3),'Summary'!$B$3-F183,0)</x:f>
        <x:v>0</x:v>
      </x:c>
      <x:c r="O183" s="88" t="n">
        <x:f>'Summary'!$B$3-L183</x:f>
        <x:v>49</x:v>
      </x:c>
      <x:c r="P183" s="88" t="n">
        <x:f>IF(AND(H183="Completed",G183&lt;&gt;"",F183&lt;&gt;""),G183-F183,"")</x:f>
        <x:v>-4</x:v>
      </x:c>
      <x:c r="Q183" s="89" t="str">
        <x:f>IF(OR(H183="On Hold",AND(I183="High",N183&gt;7,H183&lt;&gt;"Completed")),"Critical",IF(OR(AND(N183&gt;=1,N183&lt;=7,H183&lt;&gt;"Completed"),AND(O183&gt;7,H183&lt;&gt;"Completed")),"Warning","Normal"))</x:f>
        <x:v>Normal</x:v>
      </x:c>
      <x:c r="R183" s="90" t="str">
        <x:f>IF(AND(I183="High",N183&gt;7,H183&lt;&gt;"Completed"),"High-priority activity overdue by more than 7 days",IF(H183="On Hold","Activity is on hold",IF(AND(O183&gt;7,H183&lt;&gt;"Completed"),"Open activity has a stale update (&gt;7 days)",IF(AND(N183&gt;=1,N183&lt;=7,H183&lt;&gt;"Completed"),"Open activity overdue by 1-7 days",""))))</x:f>
      </x:c>
    </x:row>
    <x:row r="184">
      <x:c r="A184" s="84" t="str">
        <x:v>ACT-0180</x:v>
      </x:c>
      <x:c r="B184" s="85" t="str">
        <x:v>Project Controls</x:v>
      </x:c>
      <x:c r="C184" s="85" t="str">
        <x:v>PC-A</x:v>
      </x:c>
      <x:c r="D184" s="85" t="str">
        <x:v>Progress Update</x:v>
      </x:c>
      <x:c r="E184" s="86" t="n">
        <x:v>46251</x:v>
      </x:c>
      <x:c r="F184" s="86" t="n">
        <x:v>46270</x:v>
      </x:c>
      <x:c r="G184" s="86" t="n">
        <x:v>46265</x:v>
      </x:c>
      <x:c r="H184" s="85" t="str">
        <x:v>Completed</x:v>
      </x:c>
      <x:c r="I184" s="85" t="str">
        <x:v>Low</x:v>
      </x:c>
      <x:c r="J184" s="87" t="n">
        <x:v>100</x:v>
      </x:c>
      <x:c r="K184" s="85" t="str">
        <x:v>Access Constraint</x:v>
      </x:c>
      <x:c r="L184" s="86" t="n">
        <x:v>46262</x:v>
      </x:c>
      <x:c r="M184" s="85" t="str">
        <x:v>Team Lead F</x:v>
      </x:c>
      <x:c r="N184" s="88" t="n">
        <x:f>IF(AND(H184&lt;&gt;"Completed",F184&lt;'Summary'!$B$3),'Summary'!$B$3-F184,0)</x:f>
        <x:v>0</x:v>
      </x:c>
      <x:c r="O184" s="88" t="n">
        <x:f>'Summary'!$B$3-L184</x:f>
        <x:v>4</x:v>
      </x:c>
      <x:c r="P184" s="88" t="n">
        <x:f>IF(AND(H184="Completed",G184&lt;&gt;"",F184&lt;&gt;""),G184-F184,"")</x:f>
        <x:v>-5</x:v>
      </x:c>
      <x:c r="Q184" s="89" t="str">
        <x:f>IF(OR(H184="On Hold",AND(I184="High",N184&gt;7,H184&lt;&gt;"Completed")),"Critical",IF(OR(AND(N184&gt;=1,N184&lt;=7,H184&lt;&gt;"Completed"),AND(O184&gt;7,H184&lt;&gt;"Completed")),"Warning","Normal"))</x:f>
        <x:v>Normal</x:v>
      </x:c>
      <x:c r="R184" s="90" t="str">
        <x:f>IF(AND(I184="High",N184&gt;7,H184&lt;&gt;"Completed"),"High-priority activity overdue by more than 7 days",IF(H184="On Hold","Activity is on hold",IF(AND(O184&gt;7,H184&lt;&gt;"Completed"),"Open activity has a stale update (&gt;7 days)",IF(AND(N184&gt;=1,N184&lt;=7,H184&lt;&gt;"Completed"),"Open activity overdue by 1-7 days",""))))</x:f>
      </x:c>
    </x:row>
    <x:row r="185">
      <x:c r="A185" s="84" t="str">
        <x:v>ACT-0181</x:v>
      </x:c>
      <x:c r="B185" s="85" t="str">
        <x:v>Project Controls</x:v>
      </x:c>
      <x:c r="C185" s="85" t="str">
        <x:v>PC-A</x:v>
      </x:c>
      <x:c r="D185" s="85" t="str">
        <x:v>KPI Update</x:v>
      </x:c>
      <x:c r="E185" s="86" t="n">
        <x:v>46239</x:v>
      </x:c>
      <x:c r="F185" s="86" t="n">
        <x:v>46259</x:v>
      </x:c>
      <x:c r="G185" s="86"/>
      <x:c r="H185" s="85" t="str">
        <x:v>In Progress</x:v>
      </x:c>
      <x:c r="I185" s="85" t="str">
        <x:v>Medium</x:v>
      </x:c>
      <x:c r="J185" s="87" t="n">
        <x:v>70</x:v>
      </x:c>
      <x:c r="K185" s="85" t="str">
        <x:v>None</x:v>
      </x:c>
      <x:c r="L185" s="86" t="n">
        <x:v>46253</x:v>
      </x:c>
      <x:c r="M185" s="85" t="str">
        <x:v>Team Lead C</x:v>
      </x:c>
      <x:c r="N185" s="88" t="n">
        <x:f>IF(AND(H185&lt;&gt;"Completed",F185&lt;'Summary'!$B$3),'Summary'!$B$3-F185,0)</x:f>
        <x:v>7</x:v>
      </x:c>
      <x:c r="O185" s="88" t="n">
        <x:f>'Summary'!$B$3-L185</x:f>
        <x:v>13</x:v>
      </x:c>
      <x:c r="P185" s="88" t="str">
        <x:f>IF(AND(H185="Completed",G185&lt;&gt;"",F185&lt;&gt;""),G185-F185,"")</x:f>
      </x:c>
      <x:c r="Q185" s="89" t="str">
        <x:f>IF(OR(H185="On Hold",AND(I185="High",N185&gt;7,H185&lt;&gt;"Completed")),"Critical",IF(OR(AND(N185&gt;=1,N185&lt;=7,H185&lt;&gt;"Completed"),AND(O185&gt;7,H185&lt;&gt;"Completed")),"Warning","Normal"))</x:f>
        <x:v>Warning</x:v>
      </x:c>
      <x:c r="R185" s="90" t="str">
        <x:f>IF(AND(I185="High",N185&gt;7,H185&lt;&gt;"Completed"),"High-priority activity overdue by more than 7 days",IF(H185="On Hold","Activity is on hold",IF(AND(O185&gt;7,H185&lt;&gt;"Completed"),"Open activity has a stale update (&gt;7 days)",IF(AND(N185&gt;=1,N185&lt;=7,H185&lt;&gt;"Completed"),"Open activity overdue by 1-7 days",""))))</x:f>
        <x:v>Open activity has a stale update (&gt;7 days)</x:v>
      </x:c>
    </x:row>
    <x:row r="186">
      <x:c r="A186" s="84" t="str">
        <x:v>ACT-0182</x:v>
      </x:c>
      <x:c r="B186" s="85" t="str">
        <x:v>Construction</x:v>
      </x:c>
      <x:c r="C186" s="85" t="str">
        <x:v>CONST-B</x:v>
      </x:c>
      <x:c r="D186" s="85" t="str">
        <x:v>Progress Update</x:v>
      </x:c>
      <x:c r="E186" s="86" t="n">
        <x:v>46262</x:v>
      </x:c>
      <x:c r="F186" s="86" t="n">
        <x:v>46285</x:v>
      </x:c>
      <x:c r="G186" s="86" t="n">
        <x:v>46265</x:v>
      </x:c>
      <x:c r="H186" s="85" t="str">
        <x:v>Completed</x:v>
      </x:c>
      <x:c r="I186" s="85" t="str">
        <x:v>Medium</x:v>
      </x:c>
      <x:c r="J186" s="87" t="n">
        <x:v>100</x:v>
      </x:c>
      <x:c r="K186" s="85" t="str">
        <x:v>Approval Delay</x:v>
      </x:c>
      <x:c r="L186" s="86" t="n">
        <x:v>46265</x:v>
      </x:c>
      <x:c r="M186" s="85" t="str">
        <x:v>Team Lead B</x:v>
      </x:c>
      <x:c r="N186" s="88" t="n">
        <x:f>IF(AND(H186&lt;&gt;"Completed",F186&lt;'Summary'!$B$3),'Summary'!$B$3-F186,0)</x:f>
        <x:v>0</x:v>
      </x:c>
      <x:c r="O186" s="88" t="n">
        <x:f>'Summary'!$B$3-L186</x:f>
        <x:v>1</x:v>
      </x:c>
      <x:c r="P186" s="88" t="n">
        <x:f>IF(AND(H186="Completed",G186&lt;&gt;"",F186&lt;&gt;""),G186-F186,"")</x:f>
        <x:v>-20</x:v>
      </x:c>
      <x:c r="Q186" s="89" t="str">
        <x:f>IF(OR(H186="On Hold",AND(I186="High",N186&gt;7,H186&lt;&gt;"Completed")),"Critical",IF(OR(AND(N186&gt;=1,N186&lt;=7,H186&lt;&gt;"Completed"),AND(O186&gt;7,H186&lt;&gt;"Completed")),"Warning","Normal"))</x:f>
        <x:v>Normal</x:v>
      </x:c>
      <x:c r="R186" s="90" t="str">
        <x:f>IF(AND(I186="High",N186&gt;7,H186&lt;&gt;"Completed"),"High-priority activity overdue by more than 7 days",IF(H186="On Hold","Activity is on hold",IF(AND(O186&gt;7,H186&lt;&gt;"Completed"),"Open activity has a stale update (&gt;7 days)",IF(AND(N186&gt;=1,N186&lt;=7,H186&lt;&gt;"Completed"),"Open activity overdue by 1-7 days",""))))</x:f>
      </x:c>
    </x:row>
    <x:row r="187">
      <x:c r="A187" s="84" t="str">
        <x:v>ACT-0183</x:v>
      </x:c>
      <x:c r="B187" s="85" t="str">
        <x:v>Construction</x:v>
      </x:c>
      <x:c r="C187" s="85" t="str">
        <x:v>CONST-B</x:v>
      </x:c>
      <x:c r="D187" s="85" t="str">
        <x:v>Punch Clearance</x:v>
      </x:c>
      <x:c r="E187" s="86" t="n">
        <x:v>46261</x:v>
      </x:c>
      <x:c r="F187" s="86" t="n">
        <x:v>46271</x:v>
      </x:c>
      <x:c r="G187" s="86" t="n">
        <x:v>46265</x:v>
      </x:c>
      <x:c r="H187" s="85" t="str">
        <x:v>Completed</x:v>
      </x:c>
      <x:c r="I187" s="85" t="str">
        <x:v>Low</x:v>
      </x:c>
      <x:c r="J187" s="87" t="n">
        <x:v>100</x:v>
      </x:c>
      <x:c r="K187" s="85" t="str">
        <x:v>None</x:v>
      </x:c>
      <x:c r="L187" s="86" t="n">
        <x:v>46265</x:v>
      </x:c>
      <x:c r="M187" s="85" t="str">
        <x:v>Team Lead D</x:v>
      </x:c>
      <x:c r="N187" s="88" t="n">
        <x:f>IF(AND(H187&lt;&gt;"Completed",F187&lt;'Summary'!$B$3),'Summary'!$B$3-F187,0)</x:f>
        <x:v>0</x:v>
      </x:c>
      <x:c r="O187" s="88" t="n">
        <x:f>'Summary'!$B$3-L187</x:f>
        <x:v>1</x:v>
      </x:c>
      <x:c r="P187" s="88" t="n">
        <x:f>IF(AND(H187="Completed",G187&lt;&gt;"",F187&lt;&gt;""),G187-F187,"")</x:f>
        <x:v>-6</x:v>
      </x:c>
      <x:c r="Q187" s="89" t="str">
        <x:f>IF(OR(H187="On Hold",AND(I187="High",N187&gt;7,H187&lt;&gt;"Completed")),"Critical",IF(OR(AND(N187&gt;=1,N187&lt;=7,H187&lt;&gt;"Completed"),AND(O187&gt;7,H187&lt;&gt;"Completed")),"Warning","Normal"))</x:f>
        <x:v>Normal</x:v>
      </x:c>
      <x:c r="R187" s="90" t="str">
        <x:f>IF(AND(I187="High",N187&gt;7,H187&lt;&gt;"Completed"),"High-priority activity overdue by more than 7 days",IF(H187="On Hold","Activity is on hold",IF(AND(O187&gt;7,H187&lt;&gt;"Completed"),"Open activity has a stale update (&gt;7 days)",IF(AND(N187&gt;=1,N187&lt;=7,H187&lt;&gt;"Completed"),"Open activity overdue by 1-7 days",""))))</x:f>
      </x:c>
    </x:row>
    <x:row r="188">
      <x:c r="A188" s="84" t="str">
        <x:v>ACT-0184</x:v>
      </x:c>
      <x:c r="B188" s="85" t="str">
        <x:v>Engineering</x:v>
      </x:c>
      <x:c r="C188" s="85" t="str">
        <x:v>ENG-A</x:v>
      </x:c>
      <x:c r="D188" s="85" t="str">
        <x:v>Design Update</x:v>
      </x:c>
      <x:c r="E188" s="86" t="n">
        <x:v>46238</x:v>
      </x:c>
      <x:c r="F188" s="86" t="n">
        <x:v>46265</x:v>
      </x:c>
      <x:c r="G188" s="86"/>
      <x:c r="H188" s="85" t="str">
        <x:v>In Progress</x:v>
      </x:c>
      <x:c r="I188" s="85" t="str">
        <x:v>Medium</x:v>
      </x:c>
      <x:c r="J188" s="87" t="n">
        <x:v>90</x:v>
      </x:c>
      <x:c r="K188" s="85" t="str">
        <x:v>None</x:v>
      </x:c>
      <x:c r="L188" s="86" t="n">
        <x:v>46255</x:v>
      </x:c>
      <x:c r="M188" s="85" t="str">
        <x:v>Team Lead B</x:v>
      </x:c>
      <x:c r="N188" s="88" t="n">
        <x:f>IF(AND(H188&lt;&gt;"Completed",F188&lt;'Summary'!$B$3),'Summary'!$B$3-F188,0)</x:f>
        <x:v>1</x:v>
      </x:c>
      <x:c r="O188" s="88" t="n">
        <x:f>'Summary'!$B$3-L188</x:f>
        <x:v>11</x:v>
      </x:c>
      <x:c r="P188" s="88" t="str">
        <x:f>IF(AND(H188="Completed",G188&lt;&gt;"",F188&lt;&gt;""),G188-F188,"")</x:f>
      </x:c>
      <x:c r="Q188" s="89" t="str">
        <x:f>IF(OR(H188="On Hold",AND(I188="High",N188&gt;7,H188&lt;&gt;"Completed")),"Critical",IF(OR(AND(N188&gt;=1,N188&lt;=7,H188&lt;&gt;"Completed"),AND(O188&gt;7,H188&lt;&gt;"Completed")),"Warning","Normal"))</x:f>
        <x:v>Warning</x:v>
      </x:c>
      <x:c r="R188" s="90" t="str">
        <x:f>IF(AND(I188="High",N188&gt;7,H188&lt;&gt;"Completed"),"High-priority activity overdue by more than 7 days",IF(H188="On Hold","Activity is on hold",IF(AND(O188&gt;7,H188&lt;&gt;"Completed"),"Open activity has a stale update (&gt;7 days)",IF(AND(N188&gt;=1,N188&lt;=7,H188&lt;&gt;"Completed"),"Open activity overdue by 1-7 days",""))))</x:f>
        <x:v>Open activity has a stale update (&gt;7 days)</x:v>
      </x:c>
    </x:row>
    <x:row r="189">
      <x:c r="A189" s="84" t="str">
        <x:v>ACT-0185</x:v>
      </x:c>
      <x:c r="B189" s="85" t="str">
        <x:v>Construction</x:v>
      </x:c>
      <x:c r="C189" s="85" t="str">
        <x:v>CONST-B</x:v>
      </x:c>
      <x:c r="D189" s="85" t="str">
        <x:v>Site Preparation</x:v>
      </x:c>
      <x:c r="E189" s="86" t="n">
        <x:v>46241</x:v>
      </x:c>
      <x:c r="F189" s="86" t="n">
        <x:v>46256</x:v>
      </x:c>
      <x:c r="G189" s="86" t="n">
        <x:v>46264</x:v>
      </x:c>
      <x:c r="H189" s="85" t="str">
        <x:v>Completed</x:v>
      </x:c>
      <x:c r="I189" s="85" t="str">
        <x:v>High</x:v>
      </x:c>
      <x:c r="J189" s="87" t="n">
        <x:v>100</x:v>
      </x:c>
      <x:c r="K189" s="85" t="str">
        <x:v>None</x:v>
      </x:c>
      <x:c r="L189" s="86" t="n">
        <x:v>46260</x:v>
      </x:c>
      <x:c r="M189" s="85" t="str">
        <x:v>Team Lead F</x:v>
      </x:c>
      <x:c r="N189" s="88" t="n">
        <x:f>IF(AND(H189&lt;&gt;"Completed",F189&lt;'Summary'!$B$3),'Summary'!$B$3-F189,0)</x:f>
        <x:v>0</x:v>
      </x:c>
      <x:c r="O189" s="88" t="n">
        <x:f>'Summary'!$B$3-L189</x:f>
        <x:v>6</x:v>
      </x:c>
      <x:c r="P189" s="88" t="n">
        <x:f>IF(AND(H189="Completed",G189&lt;&gt;"",F189&lt;&gt;""),G189-F189,"")</x:f>
        <x:v>8</x:v>
      </x:c>
      <x:c r="Q189" s="89" t="str">
        <x:f>IF(OR(H189="On Hold",AND(I189="High",N189&gt;7,H189&lt;&gt;"Completed")),"Critical",IF(OR(AND(N189&gt;=1,N189&lt;=7,H189&lt;&gt;"Completed"),AND(O189&gt;7,H189&lt;&gt;"Completed")),"Warning","Normal"))</x:f>
        <x:v>Normal</x:v>
      </x:c>
      <x:c r="R189" s="90" t="str">
        <x:f>IF(AND(I189="High",N189&gt;7,H189&lt;&gt;"Completed"),"High-priority activity overdue by more than 7 days",IF(H189="On Hold","Activity is on hold",IF(AND(O189&gt;7,H189&lt;&gt;"Completed"),"Open activity has a stale update (&gt;7 days)",IF(AND(N189&gt;=1,N189&lt;=7,H189&lt;&gt;"Completed"),"Open activity overdue by 1-7 days",""))))</x:f>
      </x:c>
    </x:row>
    <x:row r="190">
      <x:c r="A190" s="84" t="str">
        <x:v>ACT-0186</x:v>
      </x:c>
      <x:c r="B190" s="85" t="str">
        <x:v>Construction</x:v>
      </x:c>
      <x:c r="C190" s="85" t="str">
        <x:v>CONST-B</x:v>
      </x:c>
      <x:c r="D190" s="85" t="str">
        <x:v>Site Preparation</x:v>
      </x:c>
      <x:c r="E190" s="86" t="n">
        <x:v>46198</x:v>
      </x:c>
      <x:c r="F190" s="86" t="n">
        <x:v>46208</x:v>
      </x:c>
      <x:c r="G190" s="86" t="n">
        <x:v>46212</x:v>
      </x:c>
      <x:c r="H190" s="85" t="str">
        <x:v>Completed</x:v>
      </x:c>
      <x:c r="I190" s="85" t="str">
        <x:v>Medium</x:v>
      </x:c>
      <x:c r="J190" s="87" t="n">
        <x:v>100</x:v>
      </x:c>
      <x:c r="K190" s="85" t="str">
        <x:v>Material Delay</x:v>
      </x:c>
      <x:c r="L190" s="86" t="n">
        <x:v>46210</x:v>
      </x:c>
      <x:c r="M190" s="85" t="str">
        <x:v>Team Lead F</x:v>
      </x:c>
      <x:c r="N190" s="88" t="n">
        <x:f>IF(AND(H190&lt;&gt;"Completed",F190&lt;'Summary'!$B$3),'Summary'!$B$3-F190,0)</x:f>
        <x:v>0</x:v>
      </x:c>
      <x:c r="O190" s="88" t="n">
        <x:f>'Summary'!$B$3-L190</x:f>
        <x:v>56</x:v>
      </x:c>
      <x:c r="P190" s="88" t="n">
        <x:f>IF(AND(H190="Completed",G190&lt;&gt;"",F190&lt;&gt;""),G190-F190,"")</x:f>
        <x:v>4</x:v>
      </x:c>
      <x:c r="Q190" s="89" t="str">
        <x:f>IF(OR(H190="On Hold",AND(I190="High",N190&gt;7,H190&lt;&gt;"Completed")),"Critical",IF(OR(AND(N190&gt;=1,N190&lt;=7,H190&lt;&gt;"Completed"),AND(O190&gt;7,H190&lt;&gt;"Completed")),"Warning","Normal"))</x:f>
        <x:v>Normal</x:v>
      </x:c>
      <x:c r="R190" s="90" t="str">
        <x:f>IF(AND(I190="High",N190&gt;7,H190&lt;&gt;"Completed"),"High-priority activity overdue by more than 7 days",IF(H190="On Hold","Activity is on hold",IF(AND(O190&gt;7,H190&lt;&gt;"Completed"),"Open activity has a stale update (&gt;7 days)",IF(AND(N190&gt;=1,N190&lt;=7,H190&lt;&gt;"Completed"),"Open activity overdue by 1-7 days",""))))</x:f>
      </x:c>
    </x:row>
    <x:row r="191">
      <x:c r="A191" s="84" t="str">
        <x:v>ACT-0187</x:v>
      </x:c>
      <x:c r="B191" s="85" t="str">
        <x:v>Construction</x:v>
      </x:c>
      <x:c r="C191" s="85" t="str">
        <x:v>CONST-B</x:v>
      </x:c>
      <x:c r="D191" s="85" t="str">
        <x:v>Site Preparation</x:v>
      </x:c>
      <x:c r="E191" s="86" t="n">
        <x:v>46218</x:v>
      </x:c>
      <x:c r="F191" s="86" t="n">
        <x:v>46238</x:v>
      </x:c>
      <x:c r="G191" s="86"/>
      <x:c r="H191" s="85" t="str">
        <x:v>In Progress</x:v>
      </x:c>
      <x:c r="I191" s="85" t="str">
        <x:v>Low</x:v>
      </x:c>
      <x:c r="J191" s="87" t="n">
        <x:v>55</x:v>
      </x:c>
      <x:c r="K191" s="85" t="str">
        <x:v>None</x:v>
      </x:c>
      <x:c r="L191" s="86" t="n">
        <x:v>46262</x:v>
      </x:c>
      <x:c r="M191" s="85" t="str">
        <x:v>Team Lead F</x:v>
      </x:c>
      <x:c r="N191" s="88" t="n">
        <x:f>IF(AND(H191&lt;&gt;"Completed",F191&lt;'Summary'!$B$3),'Summary'!$B$3-F191,0)</x:f>
        <x:v>28</x:v>
      </x:c>
      <x:c r="O191" s="88" t="n">
        <x:f>'Summary'!$B$3-L191</x:f>
        <x:v>4</x:v>
      </x:c>
      <x:c r="P191" s="88" t="str">
        <x:f>IF(AND(H191="Completed",G191&lt;&gt;"",F191&lt;&gt;""),G191-F191,"")</x:f>
      </x:c>
      <x:c r="Q191" s="89" t="str">
        <x:f>IF(OR(H191="On Hold",AND(I191="High",N191&gt;7,H191&lt;&gt;"Completed")),"Critical",IF(OR(AND(N191&gt;=1,N191&lt;=7,H191&lt;&gt;"Completed"),AND(O191&gt;7,H191&lt;&gt;"Completed")),"Warning","Normal"))</x:f>
        <x:v>Normal</x:v>
      </x:c>
      <x:c r="R191" s="90" t="str">
        <x:f>IF(AND(I191="High",N191&gt;7,H191&lt;&gt;"Completed"),"High-priority activity overdue by more than 7 days",IF(H191="On Hold","Activity is on hold",IF(AND(O191&gt;7,H191&lt;&gt;"Completed"),"Open activity has a stale update (&gt;7 days)",IF(AND(N191&gt;=1,N191&lt;=7,H191&lt;&gt;"Completed"),"Open activity overdue by 1-7 days",""))))</x:f>
      </x:c>
    </x:row>
    <x:row r="192">
      <x:c r="A192" s="84" t="str">
        <x:v>ACT-0188</x:v>
      </x:c>
      <x:c r="B192" s="85" t="str">
        <x:v>Construction</x:v>
      </x:c>
      <x:c r="C192" s="85" t="str">
        <x:v>CONST-B</x:v>
      </x:c>
      <x:c r="D192" s="85" t="str">
        <x:v>Progress Update</x:v>
      </x:c>
      <x:c r="E192" s="86" t="n">
        <x:v>46192</x:v>
      </x:c>
      <x:c r="F192" s="86" t="n">
        <x:v>46204</x:v>
      </x:c>
      <x:c r="G192" s="86" t="n">
        <x:v>46201</x:v>
      </x:c>
      <x:c r="H192" s="85" t="str">
        <x:v>Completed</x:v>
      </x:c>
      <x:c r="I192" s="85" t="str">
        <x:v>Low</x:v>
      </x:c>
      <x:c r="J192" s="87" t="n">
        <x:v>100</x:v>
      </x:c>
      <x:c r="K192" s="85" t="str">
        <x:v>Documentation</x:v>
      </x:c>
      <x:c r="L192" s="86" t="n">
        <x:v>46199</x:v>
      </x:c>
      <x:c r="M192" s="85" t="str">
        <x:v>Team Lead F</x:v>
      </x:c>
      <x:c r="N192" s="88" t="n">
        <x:f>IF(AND(H192&lt;&gt;"Completed",F192&lt;'Summary'!$B$3),'Summary'!$B$3-F192,0)</x:f>
        <x:v>0</x:v>
      </x:c>
      <x:c r="O192" s="88" t="n">
        <x:f>'Summary'!$B$3-L192</x:f>
        <x:v>67</x:v>
      </x:c>
      <x:c r="P192" s="88" t="n">
        <x:f>IF(AND(H192="Completed",G192&lt;&gt;"",F192&lt;&gt;""),G192-F192,"")</x:f>
        <x:v>-3</x:v>
      </x:c>
      <x:c r="Q192" s="89" t="str">
        <x:f>IF(OR(H192="On Hold",AND(I192="High",N192&gt;7,H192&lt;&gt;"Completed")),"Critical",IF(OR(AND(N192&gt;=1,N192&lt;=7,H192&lt;&gt;"Completed"),AND(O192&gt;7,H192&lt;&gt;"Completed")),"Warning","Normal"))</x:f>
        <x:v>Normal</x:v>
      </x:c>
      <x:c r="R192" s="90" t="str">
        <x:f>IF(AND(I192="High",N192&gt;7,H192&lt;&gt;"Completed"),"High-priority activity overdue by more than 7 days",IF(H192="On Hold","Activity is on hold",IF(AND(O192&gt;7,H192&lt;&gt;"Completed"),"Open activity has a stale update (&gt;7 days)",IF(AND(N192&gt;=1,N192&lt;=7,H192&lt;&gt;"Completed"),"Open activity overdue by 1-7 days",""))))</x:f>
      </x:c>
    </x:row>
    <x:row r="193">
      <x:c r="A193" s="84" t="str">
        <x:v>ACT-0189</x:v>
      </x:c>
      <x:c r="B193" s="85" t="str">
        <x:v>QA/QC</x:v>
      </x:c>
      <x:c r="C193" s="85" t="str">
        <x:v>QA-B</x:v>
      </x:c>
      <x:c r="D193" s="85" t="str">
        <x:v>Inspection Request</x:v>
      </x:c>
      <x:c r="E193" s="86" t="n">
        <x:v>46199</x:v>
      </x:c>
      <x:c r="F193" s="86" t="n">
        <x:v>46219</x:v>
      </x:c>
      <x:c r="G193" s="86" t="n">
        <x:v>46222</x:v>
      </x:c>
      <x:c r="H193" s="85" t="str">
        <x:v>Completed</x:v>
      </x:c>
      <x:c r="I193" s="85" t="str">
        <x:v>Medium</x:v>
      </x:c>
      <x:c r="J193" s="87" t="n">
        <x:v>100</x:v>
      </x:c>
      <x:c r="K193" s="85" t="str">
        <x:v>None</x:v>
      </x:c>
      <x:c r="L193" s="86" t="n">
        <x:v>46221</x:v>
      </x:c>
      <x:c r="M193" s="85" t="str">
        <x:v>Team Lead F</x:v>
      </x:c>
      <x:c r="N193" s="88" t="n">
        <x:f>IF(AND(H193&lt;&gt;"Completed",F193&lt;'Summary'!$B$3),'Summary'!$B$3-F193,0)</x:f>
        <x:v>0</x:v>
      </x:c>
      <x:c r="O193" s="88" t="n">
        <x:f>'Summary'!$B$3-L193</x:f>
        <x:v>45</x:v>
      </x:c>
      <x:c r="P193" s="88" t="n">
        <x:f>IF(AND(H193="Completed",G193&lt;&gt;"",F193&lt;&gt;""),G193-F193,"")</x:f>
        <x:v>3</x:v>
      </x:c>
      <x:c r="Q193" s="89" t="str">
        <x:f>IF(OR(H193="On Hold",AND(I193="High",N193&gt;7,H193&lt;&gt;"Completed")),"Critical",IF(OR(AND(N193&gt;=1,N193&lt;=7,H193&lt;&gt;"Completed"),AND(O193&gt;7,H193&lt;&gt;"Completed")),"Warning","Normal"))</x:f>
        <x:v>Normal</x:v>
      </x:c>
      <x:c r="R193" s="90" t="str">
        <x:f>IF(AND(I193="High",N193&gt;7,H193&lt;&gt;"Completed"),"High-priority activity overdue by more than 7 days",IF(H193="On Hold","Activity is on hold",IF(AND(O193&gt;7,H193&lt;&gt;"Completed"),"Open activity has a stale update (&gt;7 days)",IF(AND(N193&gt;=1,N193&lt;=7,H193&lt;&gt;"Completed"),"Open activity overdue by 1-7 days",""))))</x:f>
      </x:c>
    </x:row>
    <x:row r="194">
      <x:c r="A194" s="84" t="str">
        <x:v>ACT-0190</x:v>
      </x:c>
      <x:c r="B194" s="85" t="str">
        <x:v>Construction</x:v>
      </x:c>
      <x:c r="C194" s="85" t="str">
        <x:v>CONST-A</x:v>
      </x:c>
      <x:c r="D194" s="85" t="str">
        <x:v>Field Installation</x:v>
      </x:c>
      <x:c r="E194" s="86" t="n">
        <x:v>46259</x:v>
      </x:c>
      <x:c r="F194" s="86" t="n">
        <x:v>46278</x:v>
      </x:c>
      <x:c r="G194" s="86"/>
      <x:c r="H194" s="85" t="str">
        <x:v>In Progress</x:v>
      </x:c>
      <x:c r="I194" s="85" t="str">
        <x:v>Medium</x:v>
      </x:c>
      <x:c r="J194" s="87" t="n">
        <x:v>35</x:v>
      </x:c>
      <x:c r="K194" s="85" t="str">
        <x:v>Approval Delay</x:v>
      </x:c>
      <x:c r="L194" s="86" t="n">
        <x:v>46260</x:v>
      </x:c>
      <x:c r="M194" s="85" t="str">
        <x:v>Team Lead D</x:v>
      </x:c>
      <x:c r="N194" s="88" t="n">
        <x:f>IF(AND(H194&lt;&gt;"Completed",F194&lt;'Summary'!$B$3),'Summary'!$B$3-F194,0)</x:f>
        <x:v>0</x:v>
      </x:c>
      <x:c r="O194" s="88" t="n">
        <x:f>'Summary'!$B$3-L194</x:f>
        <x:v>6</x:v>
      </x:c>
      <x:c r="P194" s="88" t="str">
        <x:f>IF(AND(H194="Completed",G194&lt;&gt;"",F194&lt;&gt;""),G194-F194,"")</x:f>
      </x:c>
      <x:c r="Q194" s="89" t="str">
        <x:f>IF(OR(H194="On Hold",AND(I194="High",N194&gt;7,H194&lt;&gt;"Completed")),"Critical",IF(OR(AND(N194&gt;=1,N194&lt;=7,H194&lt;&gt;"Completed"),AND(O194&gt;7,H194&lt;&gt;"Completed")),"Warning","Normal"))</x:f>
        <x:v>Normal</x:v>
      </x:c>
      <x:c r="R194" s="90" t="str">
        <x:f>IF(AND(I194="High",N194&gt;7,H194&lt;&gt;"Completed"),"High-priority activity overdue by more than 7 days",IF(H194="On Hold","Activity is on hold",IF(AND(O194&gt;7,H194&lt;&gt;"Completed"),"Open activity has a stale update (&gt;7 days)",IF(AND(N194&gt;=1,N194&lt;=7,H194&lt;&gt;"Completed"),"Open activity overdue by 1-7 days",""))))</x:f>
      </x:c>
    </x:row>
    <x:row r="195">
      <x:c r="A195" s="84" t="str">
        <x:v>ACT-0191</x:v>
      </x:c>
      <x:c r="B195" s="85" t="str">
        <x:v>Engineering</x:v>
      </x:c>
      <x:c r="C195" s="85" t="str">
        <x:v>ENG-A</x:v>
      </x:c>
      <x:c r="D195" s="85" t="str">
        <x:v>Drawing Review</x:v>
      </x:c>
      <x:c r="E195" s="86" t="n">
        <x:v>46244</x:v>
      </x:c>
      <x:c r="F195" s="86" t="n">
        <x:v>46252</x:v>
      </x:c>
      <x:c r="G195" s="86" t="n">
        <x:v>46262</x:v>
      </x:c>
      <x:c r="H195" s="85" t="str">
        <x:v>Completed</x:v>
      </x:c>
      <x:c r="I195" s="85" t="str">
        <x:v>Low</x:v>
      </x:c>
      <x:c r="J195" s="87" t="n">
        <x:v>100</x:v>
      </x:c>
      <x:c r="K195" s="85" t="str">
        <x:v>Material Delay</x:v>
      </x:c>
      <x:c r="L195" s="86" t="n">
        <x:v>46259</x:v>
      </x:c>
      <x:c r="M195" s="85" t="str">
        <x:v>Team Lead C</x:v>
      </x:c>
      <x:c r="N195" s="88" t="n">
        <x:f>IF(AND(H195&lt;&gt;"Completed",F195&lt;'Summary'!$B$3),'Summary'!$B$3-F195,0)</x:f>
        <x:v>0</x:v>
      </x:c>
      <x:c r="O195" s="88" t="n">
        <x:f>'Summary'!$B$3-L195</x:f>
        <x:v>7</x:v>
      </x:c>
      <x:c r="P195" s="88" t="n">
        <x:f>IF(AND(H195="Completed",G195&lt;&gt;"",F195&lt;&gt;""),G195-F195,"")</x:f>
        <x:v>10</x:v>
      </x:c>
      <x:c r="Q195" s="89" t="str">
        <x:f>IF(OR(H195="On Hold",AND(I195="High",N195&gt;7,H195&lt;&gt;"Completed")),"Critical",IF(OR(AND(N195&gt;=1,N195&lt;=7,H195&lt;&gt;"Completed"),AND(O195&gt;7,H195&lt;&gt;"Completed")),"Warning","Normal"))</x:f>
        <x:v>Normal</x:v>
      </x:c>
      <x:c r="R195" s="90" t="str">
        <x:f>IF(AND(I195="High",N195&gt;7,H195&lt;&gt;"Completed"),"High-priority activity overdue by more than 7 days",IF(H195="On Hold","Activity is on hold",IF(AND(O195&gt;7,H195&lt;&gt;"Completed"),"Open activity has a stale update (&gt;7 days)",IF(AND(N195&gt;=1,N195&lt;=7,H195&lt;&gt;"Completed"),"Open activity overdue by 1-7 days",""))))</x:f>
      </x:c>
    </x:row>
    <x:row r="196">
      <x:c r="A196" s="84" t="str">
        <x:v>ACT-0192</x:v>
      </x:c>
      <x:c r="B196" s="85" t="str">
        <x:v>QA/QC</x:v>
      </x:c>
      <x:c r="C196" s="85" t="str">
        <x:v>QA-A</x:v>
      </x:c>
      <x:c r="D196" s="85" t="str">
        <x:v>Test Package</x:v>
      </x:c>
      <x:c r="E196" s="86" t="n">
        <x:v>46257</x:v>
      </x:c>
      <x:c r="F196" s="86" t="n">
        <x:v>46278</x:v>
      </x:c>
      <x:c r="G196" s="86"/>
      <x:c r="H196" s="85" t="str">
        <x:v>In Progress</x:v>
      </x:c>
      <x:c r="I196" s="85" t="str">
        <x:v>Medium</x:v>
      </x:c>
      <x:c r="J196" s="87" t="n">
        <x:v>25</x:v>
      </x:c>
      <x:c r="K196" s="85" t="str">
        <x:v>Access Constraint</x:v>
      </x:c>
      <x:c r="L196" s="86" t="n">
        <x:v>46252</x:v>
      </x:c>
      <x:c r="M196" s="85" t="str">
        <x:v>Team Lead D</x:v>
      </x:c>
      <x:c r="N196" s="88" t="n">
        <x:f>IF(AND(H196&lt;&gt;"Completed",F196&lt;'Summary'!$B$3),'Summary'!$B$3-F196,0)</x:f>
        <x:v>0</x:v>
      </x:c>
      <x:c r="O196" s="88" t="n">
        <x:f>'Summary'!$B$3-L196</x:f>
        <x:v>14</x:v>
      </x:c>
      <x:c r="P196" s="88" t="str">
        <x:f>IF(AND(H196="Completed",G196&lt;&gt;"",F196&lt;&gt;""),G196-F196,"")</x:f>
      </x:c>
      <x:c r="Q196" s="89" t="str">
        <x:f>IF(OR(H196="On Hold",AND(I196="High",N196&gt;7,H196&lt;&gt;"Completed")),"Critical",IF(OR(AND(N196&gt;=1,N196&lt;=7,H196&lt;&gt;"Completed"),AND(O196&gt;7,H196&lt;&gt;"Completed")),"Warning","Normal"))</x:f>
        <x:v>Warning</x:v>
      </x:c>
      <x:c r="R196" s="90" t="str">
        <x:f>IF(AND(I196="High",N196&gt;7,H196&lt;&gt;"Completed"),"High-priority activity overdue by more than 7 days",IF(H196="On Hold","Activity is on hold",IF(AND(O196&gt;7,H196&lt;&gt;"Completed"),"Open activity has a stale update (&gt;7 days)",IF(AND(N196&gt;=1,N196&lt;=7,H196&lt;&gt;"Completed"),"Open activity overdue by 1-7 days",""))))</x:f>
        <x:v>Open activity has a stale update (&gt;7 days)</x:v>
      </x:c>
    </x:row>
    <x:row r="197">
      <x:c r="A197" s="84" t="str">
        <x:v>ACT-0193</x:v>
      </x:c>
      <x:c r="B197" s="85" t="str">
        <x:v>Procurement</x:v>
      </x:c>
      <x:c r="C197" s="85" t="str">
        <x:v>PROC-A</x:v>
      </x:c>
      <x:c r="D197" s="85" t="str">
        <x:v>Material Delivery</x:v>
      </x:c>
      <x:c r="E197" s="86" t="n">
        <x:v>46224</x:v>
      </x:c>
      <x:c r="F197" s="86" t="n">
        <x:v>46252</x:v>
      </x:c>
      <x:c r="G197" s="86"/>
      <x:c r="H197" s="85" t="str">
        <x:v>In Progress</x:v>
      </x:c>
      <x:c r="I197" s="85" t="str">
        <x:v>Low</x:v>
      </x:c>
      <x:c r="J197" s="87" t="n">
        <x:v>55</x:v>
      </x:c>
      <x:c r="K197" s="85" t="str">
        <x:v>None</x:v>
      </x:c>
      <x:c r="L197" s="86" t="n">
        <x:v>46252</x:v>
      </x:c>
      <x:c r="M197" s="85" t="str">
        <x:v>Team Lead C</x:v>
      </x:c>
      <x:c r="N197" s="88" t="n">
        <x:f>IF(AND(H197&lt;&gt;"Completed",F197&lt;'Summary'!$B$3),'Summary'!$B$3-F197,0)</x:f>
        <x:v>14</x:v>
      </x:c>
      <x:c r="O197" s="88" t="n">
        <x:f>'Summary'!$B$3-L197</x:f>
        <x:v>14</x:v>
      </x:c>
      <x:c r="P197" s="88" t="str">
        <x:f>IF(AND(H197="Completed",G197&lt;&gt;"",F197&lt;&gt;""),G197-F197,"")</x:f>
      </x:c>
      <x:c r="Q197" s="89" t="str">
        <x:f>IF(OR(H197="On Hold",AND(I197="High",N197&gt;7,H197&lt;&gt;"Completed")),"Critical",IF(OR(AND(N197&gt;=1,N197&lt;=7,H197&lt;&gt;"Completed"),AND(O197&gt;7,H197&lt;&gt;"Completed")),"Warning","Normal"))</x:f>
        <x:v>Warning</x:v>
      </x:c>
      <x:c r="R197" s="90" t="str">
        <x:f>IF(AND(I197="High",N197&gt;7,H197&lt;&gt;"Completed"),"High-priority activity overdue by more than 7 days",IF(H197="On Hold","Activity is on hold",IF(AND(O197&gt;7,H197&lt;&gt;"Completed"),"Open activity has a stale update (&gt;7 days)",IF(AND(N197&gt;=1,N197&lt;=7,H197&lt;&gt;"Completed"),"Open activity overdue by 1-7 days",""))))</x:f>
        <x:v>Open activity has a stale update (&gt;7 days)</x:v>
      </x:c>
    </x:row>
    <x:row r="198">
      <x:c r="A198" s="84" t="str">
        <x:v>ACT-0194</x:v>
      </x:c>
      <x:c r="B198" s="85" t="str">
        <x:v>Construction</x:v>
      </x:c>
      <x:c r="C198" s="85" t="str">
        <x:v>CONST-A</x:v>
      </x:c>
      <x:c r="D198" s="85" t="str">
        <x:v>Progress Update</x:v>
      </x:c>
      <x:c r="E198" s="86" t="n">
        <x:v>46210</x:v>
      </x:c>
      <x:c r="F198" s="86" t="n">
        <x:v>46227</x:v>
      </x:c>
      <x:c r="G198" s="86"/>
      <x:c r="H198" s="85" t="str">
        <x:v>On Hold</x:v>
      </x:c>
      <x:c r="I198" s="85" t="str">
        <x:v>Medium</x:v>
      </x:c>
      <x:c r="J198" s="87" t="n">
        <x:v>40</x:v>
      </x:c>
      <x:c r="K198" s="85" t="str">
        <x:v>Documentation</x:v>
      </x:c>
      <x:c r="L198" s="86" t="n">
        <x:v>46257</x:v>
      </x:c>
      <x:c r="M198" s="85" t="str">
        <x:v>Team Lead D</x:v>
      </x:c>
      <x:c r="N198" s="88" t="n">
        <x:f>IF(AND(H198&lt;&gt;"Completed",F198&lt;'Summary'!$B$3),'Summary'!$B$3-F198,0)</x:f>
        <x:v>39</x:v>
      </x:c>
      <x:c r="O198" s="88" t="n">
        <x:f>'Summary'!$B$3-L198</x:f>
        <x:v>9</x:v>
      </x:c>
      <x:c r="P198" s="88" t="str">
        <x:f>IF(AND(H198="Completed",G198&lt;&gt;"",F198&lt;&gt;""),G198-F198,"")</x:f>
      </x:c>
      <x:c r="Q198" s="89" t="str">
        <x:f>IF(OR(H198="On Hold",AND(I198="High",N198&gt;7,H198&lt;&gt;"Completed")),"Critical",IF(OR(AND(N198&gt;=1,N198&lt;=7,H198&lt;&gt;"Completed"),AND(O198&gt;7,H198&lt;&gt;"Completed")),"Warning","Normal"))</x:f>
        <x:v>Critical</x:v>
      </x:c>
      <x:c r="R198" s="90" t="str">
        <x:f>IF(AND(I198="High",N198&gt;7,H198&lt;&gt;"Completed"),"High-priority activity overdue by more than 7 days",IF(H198="On Hold","Activity is on hold",IF(AND(O198&gt;7,H198&lt;&gt;"Completed"),"Open activity has a stale update (&gt;7 days)",IF(AND(N198&gt;=1,N198&lt;=7,H198&lt;&gt;"Completed"),"Open activity overdue by 1-7 days",""))))</x:f>
        <x:v>Activity is on hold</x:v>
      </x:c>
    </x:row>
    <x:row r="199">
      <x:c r="A199" s="84" t="str">
        <x:v>ACT-0195</x:v>
      </x:c>
      <x:c r="B199" s="85" t="str">
        <x:v>QA/QC</x:v>
      </x:c>
      <x:c r="C199" s="85" t="str">
        <x:v>QA-A</x:v>
      </x:c>
      <x:c r="D199" s="85" t="str">
        <x:v>Punch Clearance</x:v>
      </x:c>
      <x:c r="E199" s="86" t="n">
        <x:v>46194</x:v>
      </x:c>
      <x:c r="F199" s="86" t="n">
        <x:v>46220</x:v>
      </x:c>
      <x:c r="G199" s="86" t="n">
        <x:v>46220</x:v>
      </x:c>
      <x:c r="H199" s="85" t="str">
        <x:v>Completed</x:v>
      </x:c>
      <x:c r="I199" s="85" t="str">
        <x:v>Medium</x:v>
      </x:c>
      <x:c r="J199" s="87" t="n">
        <x:v>100</x:v>
      </x:c>
      <x:c r="K199" s="85" t="str">
        <x:v>Manpower</x:v>
      </x:c>
      <x:c r="L199" s="86" t="n">
        <x:v>46220</x:v>
      </x:c>
      <x:c r="M199" s="85" t="str">
        <x:v>Team Lead C</x:v>
      </x:c>
      <x:c r="N199" s="88" t="n">
        <x:f>IF(AND(H199&lt;&gt;"Completed",F199&lt;'Summary'!$B$3),'Summary'!$B$3-F199,0)</x:f>
        <x:v>0</x:v>
      </x:c>
      <x:c r="O199" s="88" t="n">
        <x:f>'Summary'!$B$3-L199</x:f>
        <x:v>46</x:v>
      </x:c>
      <x:c r="P199" s="88" t="n">
        <x:f>IF(AND(H199="Completed",G199&lt;&gt;"",F199&lt;&gt;""),G199-F199,"")</x:f>
        <x:v>0</x:v>
      </x:c>
      <x:c r="Q199" s="89" t="str">
        <x:f>IF(OR(H199="On Hold",AND(I199="High",N199&gt;7,H199&lt;&gt;"Completed")),"Critical",IF(OR(AND(N199&gt;=1,N199&lt;=7,H199&lt;&gt;"Completed"),AND(O199&gt;7,H199&lt;&gt;"Completed")),"Warning","Normal"))</x:f>
        <x:v>Normal</x:v>
      </x:c>
      <x:c r="R199" s="90" t="str">
        <x:f>IF(AND(I199="High",N199&gt;7,H199&lt;&gt;"Completed"),"High-priority activity overdue by more than 7 days",IF(H199="On Hold","Activity is on hold",IF(AND(O199&gt;7,H199&lt;&gt;"Completed"),"Open activity has a stale update (&gt;7 days)",IF(AND(N199&gt;=1,N199&lt;=7,H199&lt;&gt;"Completed"),"Open activity overdue by 1-7 days",""))))</x:f>
      </x:c>
    </x:row>
    <x:row r="200">
      <x:c r="A200" s="84" t="str">
        <x:v>ACT-0196</x:v>
      </x:c>
      <x:c r="B200" s="85" t="str">
        <x:v>Construction</x:v>
      </x:c>
      <x:c r="C200" s="85" t="str">
        <x:v>CONST-A</x:v>
      </x:c>
      <x:c r="D200" s="85" t="str">
        <x:v>Punch Clearance</x:v>
      </x:c>
      <x:c r="E200" s="86" t="n">
        <x:v>46252</x:v>
      </x:c>
      <x:c r="F200" s="86" t="n">
        <x:v>46275</x:v>
      </x:c>
      <x:c r="G200" s="86"/>
      <x:c r="H200" s="85" t="str">
        <x:v>Not Started</x:v>
      </x:c>
      <x:c r="I200" s="85" t="str">
        <x:v>Low</x:v>
      </x:c>
      <x:c r="J200" s="87" t="n">
        <x:v>10</x:v>
      </x:c>
      <x:c r="K200" s="85" t="str">
        <x:v>None</x:v>
      </x:c>
      <x:c r="L200" s="86" t="n">
        <x:v>46253</x:v>
      </x:c>
      <x:c r="M200" s="85" t="str">
        <x:v>Team Lead F</x:v>
      </x:c>
      <x:c r="N200" s="88" t="n">
        <x:f>IF(AND(H200&lt;&gt;"Completed",F200&lt;'Summary'!$B$3),'Summary'!$B$3-F200,0)</x:f>
        <x:v>0</x:v>
      </x:c>
      <x:c r="O200" s="88" t="n">
        <x:f>'Summary'!$B$3-L200</x:f>
        <x:v>13</x:v>
      </x:c>
      <x:c r="P200" s="88" t="str">
        <x:f>IF(AND(H200="Completed",G200&lt;&gt;"",F200&lt;&gt;""),G200-F200,"")</x:f>
      </x:c>
      <x:c r="Q200" s="89" t="str">
        <x:f>IF(OR(H200="On Hold",AND(I200="High",N200&gt;7,H200&lt;&gt;"Completed")),"Critical",IF(OR(AND(N200&gt;=1,N200&lt;=7,H200&lt;&gt;"Completed"),AND(O200&gt;7,H200&lt;&gt;"Completed")),"Warning","Normal"))</x:f>
        <x:v>Warning</x:v>
      </x:c>
      <x:c r="R200" s="90" t="str">
        <x:f>IF(AND(I200="High",N200&gt;7,H200&lt;&gt;"Completed"),"High-priority activity overdue by more than 7 days",IF(H200="On Hold","Activity is on hold",IF(AND(O200&gt;7,H200&lt;&gt;"Completed"),"Open activity has a stale update (&gt;7 days)",IF(AND(N200&gt;=1,N200&lt;=7,H200&lt;&gt;"Completed"),"Open activity overdue by 1-7 days",""))))</x:f>
        <x:v>Open activity has a stale update (&gt;7 days)</x:v>
      </x:c>
    </x:row>
    <x:row r="201">
      <x:c r="A201" s="84" t="str">
        <x:v>ACT-0197</x:v>
      </x:c>
      <x:c r="B201" s="85" t="str">
        <x:v>Engineering</x:v>
      </x:c>
      <x:c r="C201" s="85" t="str">
        <x:v>ENG-A</x:v>
      </x:c>
      <x:c r="D201" s="85" t="str">
        <x:v>Design Update</x:v>
      </x:c>
      <x:c r="E201" s="86" t="n">
        <x:v>46215</x:v>
      </x:c>
      <x:c r="F201" s="86" t="n">
        <x:v>46225</x:v>
      </x:c>
      <x:c r="G201" s="86" t="n">
        <x:v>46234</x:v>
      </x:c>
      <x:c r="H201" s="85" t="str">
        <x:v>Completed</x:v>
      </x:c>
      <x:c r="I201" s="85" t="str">
        <x:v>Medium</x:v>
      </x:c>
      <x:c r="J201" s="87" t="n">
        <x:v>100</x:v>
      </x:c>
      <x:c r="K201" s="85" t="str">
        <x:v>Documentation</x:v>
      </x:c>
      <x:c r="L201" s="86" t="n">
        <x:v>46232</x:v>
      </x:c>
      <x:c r="M201" s="85" t="str">
        <x:v>Team Lead C</x:v>
      </x:c>
      <x:c r="N201" s="88" t="n">
        <x:f>IF(AND(H201&lt;&gt;"Completed",F201&lt;'Summary'!$B$3),'Summary'!$B$3-F201,0)</x:f>
        <x:v>0</x:v>
      </x:c>
      <x:c r="O201" s="88" t="n">
        <x:f>'Summary'!$B$3-L201</x:f>
        <x:v>34</x:v>
      </x:c>
      <x:c r="P201" s="88" t="n">
        <x:f>IF(AND(H201="Completed",G201&lt;&gt;"",F201&lt;&gt;""),G201-F201,"")</x:f>
        <x:v>9</x:v>
      </x:c>
      <x:c r="Q201" s="89" t="str">
        <x:f>IF(OR(H201="On Hold",AND(I201="High",N201&gt;7,H201&lt;&gt;"Completed")),"Critical",IF(OR(AND(N201&gt;=1,N201&lt;=7,H201&lt;&gt;"Completed"),AND(O201&gt;7,H201&lt;&gt;"Completed")),"Warning","Normal"))</x:f>
        <x:v>Normal</x:v>
      </x:c>
      <x:c r="R201" s="90" t="str">
        <x:f>IF(AND(I201="High",N201&gt;7,H201&lt;&gt;"Completed"),"High-priority activity overdue by more than 7 days",IF(H201="On Hold","Activity is on hold",IF(AND(O201&gt;7,H201&lt;&gt;"Completed"),"Open activity has a stale update (&gt;7 days)",IF(AND(N201&gt;=1,N201&lt;=7,H201&lt;&gt;"Completed"),"Open activity overdue by 1-7 days",""))))</x:f>
      </x:c>
    </x:row>
    <x:row r="202">
      <x:c r="A202" s="84" t="str">
        <x:v>ACT-0198</x:v>
      </x:c>
      <x:c r="B202" s="85" t="str">
        <x:v>Construction</x:v>
      </x:c>
      <x:c r="C202" s="85" t="str">
        <x:v>CONST-A</x:v>
      </x:c>
      <x:c r="D202" s="85" t="str">
        <x:v>Progress Update</x:v>
      </x:c>
      <x:c r="E202" s="86" t="n">
        <x:v>46257</x:v>
      </x:c>
      <x:c r="F202" s="86" t="n">
        <x:v>46271</x:v>
      </x:c>
      <x:c r="G202" s="86"/>
      <x:c r="H202" s="85" t="str">
        <x:v>On Hold</x:v>
      </x:c>
      <x:c r="I202" s="85" t="str">
        <x:v>High</x:v>
      </x:c>
      <x:c r="J202" s="87" t="n">
        <x:v>10</x:v>
      </x:c>
      <x:c r="K202" s="85" t="str">
        <x:v>Material Delay</x:v>
      </x:c>
      <x:c r="L202" s="86" t="n">
        <x:v>46247</x:v>
      </x:c>
      <x:c r="M202" s="85" t="str">
        <x:v>Team Lead D</x:v>
      </x:c>
      <x:c r="N202" s="88" t="n">
        <x:f>IF(AND(H202&lt;&gt;"Completed",F202&lt;'Summary'!$B$3),'Summary'!$B$3-F202,0)</x:f>
        <x:v>0</x:v>
      </x:c>
      <x:c r="O202" s="88" t="n">
        <x:f>'Summary'!$B$3-L202</x:f>
        <x:v>19</x:v>
      </x:c>
      <x:c r="P202" s="88" t="str">
        <x:f>IF(AND(H202="Completed",G202&lt;&gt;"",F202&lt;&gt;""),G202-F202,"")</x:f>
      </x:c>
      <x:c r="Q202" s="89" t="str">
        <x:f>IF(OR(H202="On Hold",AND(I202="High",N202&gt;7,H202&lt;&gt;"Completed")),"Critical",IF(OR(AND(N202&gt;=1,N202&lt;=7,H202&lt;&gt;"Completed"),AND(O202&gt;7,H202&lt;&gt;"Completed")),"Warning","Normal"))</x:f>
        <x:v>Critical</x:v>
      </x:c>
      <x:c r="R202" s="90" t="str">
        <x:f>IF(AND(I202="High",N202&gt;7,H202&lt;&gt;"Completed"),"High-priority activity overdue by more than 7 days",IF(H202="On Hold","Activity is on hold",IF(AND(O202&gt;7,H202&lt;&gt;"Completed"),"Open activity has a stale update (&gt;7 days)",IF(AND(N202&gt;=1,N202&lt;=7,H202&lt;&gt;"Completed"),"Open activity overdue by 1-7 days",""))))</x:f>
        <x:v>Activity is on hold</x:v>
      </x:c>
    </x:row>
    <x:row r="203">
      <x:c r="A203" s="84" t="str">
        <x:v>ACT-0199</x:v>
      </x:c>
      <x:c r="B203" s="85" t="str">
        <x:v>Construction</x:v>
      </x:c>
      <x:c r="C203" s="85" t="str">
        <x:v>CONST-B</x:v>
      </x:c>
      <x:c r="D203" s="85" t="str">
        <x:v>Field Installation</x:v>
      </x:c>
      <x:c r="E203" s="86" t="n">
        <x:v>46255</x:v>
      </x:c>
      <x:c r="F203" s="86" t="n">
        <x:v>46267</x:v>
      </x:c>
      <x:c r="G203" s="86"/>
      <x:c r="H203" s="85" t="str">
        <x:v>In Progress</x:v>
      </x:c>
      <x:c r="I203" s="85" t="str">
        <x:v>Medium</x:v>
      </x:c>
      <x:c r="J203" s="87" t="n">
        <x:v>40</x:v>
      </x:c>
      <x:c r="K203" s="85" t="str">
        <x:v>None</x:v>
      </x:c>
      <x:c r="L203" s="86" t="n">
        <x:v>46259</x:v>
      </x:c>
      <x:c r="M203" s="85" t="str">
        <x:v>Team Lead F</x:v>
      </x:c>
      <x:c r="N203" s="88" t="n">
        <x:f>IF(AND(H203&lt;&gt;"Completed",F203&lt;'Summary'!$B$3),'Summary'!$B$3-F203,0)</x:f>
        <x:v>0</x:v>
      </x:c>
      <x:c r="O203" s="88" t="n">
        <x:f>'Summary'!$B$3-L203</x:f>
        <x:v>7</x:v>
      </x:c>
      <x:c r="P203" s="88" t="str">
        <x:f>IF(AND(H203="Completed",G203&lt;&gt;"",F203&lt;&gt;""),G203-F203,"")</x:f>
      </x:c>
      <x:c r="Q203" s="89" t="str">
        <x:f>IF(OR(H203="On Hold",AND(I203="High",N203&gt;7,H203&lt;&gt;"Completed")),"Critical",IF(OR(AND(N203&gt;=1,N203&lt;=7,H203&lt;&gt;"Completed"),AND(O203&gt;7,H203&lt;&gt;"Completed")),"Warning","Normal"))</x:f>
        <x:v>Normal</x:v>
      </x:c>
      <x:c r="R203" s="90" t="str">
        <x:f>IF(AND(I203="High",N203&gt;7,H203&lt;&gt;"Completed"),"High-priority activity overdue by more than 7 days",IF(H203="On Hold","Activity is on hold",IF(AND(O203&gt;7,H203&lt;&gt;"Completed"),"Open activity has a stale update (&gt;7 days)",IF(AND(N203&gt;=1,N203&lt;=7,H203&lt;&gt;"Completed"),"Open activity overdue by 1-7 days",""))))</x:f>
      </x:c>
    </x:row>
    <x:row r="204">
      <x:c r="A204" s="84" t="str">
        <x:v>ACT-0200</x:v>
      </x:c>
      <x:c r="B204" s="85" t="str">
        <x:v>Procurement</x:v>
      </x:c>
      <x:c r="C204" s="85" t="str">
        <x:v>PROC-A</x:v>
      </x:c>
      <x:c r="D204" s="85" t="str">
        <x:v>Vendor Follow-up</x:v>
      </x:c>
      <x:c r="E204" s="86" t="n">
        <x:v>46263</x:v>
      </x:c>
      <x:c r="F204" s="86" t="n">
        <x:v>46283</x:v>
      </x:c>
      <x:c r="G204" s="86"/>
      <x:c r="H204" s="85" t="str">
        <x:v>Not Started</x:v>
      </x:c>
      <x:c r="I204" s="85" t="str">
        <x:v>Low</x:v>
      </x:c>
      <x:c r="J204" s="87" t="n">
        <x:v>0</x:v>
      </x:c>
      <x:c r="K204" s="85" t="str">
        <x:v>Rework</x:v>
      </x:c>
      <x:c r="L204" s="86" t="n">
        <x:v>46256</x:v>
      </x:c>
      <x:c r="M204" s="85" t="str">
        <x:v>Team Lead E</x:v>
      </x:c>
      <x:c r="N204" s="88" t="n">
        <x:f>IF(AND(H204&lt;&gt;"Completed",F204&lt;'Summary'!$B$3),'Summary'!$B$3-F204,0)</x:f>
        <x:v>0</x:v>
      </x:c>
      <x:c r="O204" s="88" t="n">
        <x:f>'Summary'!$B$3-L204</x:f>
        <x:v>10</x:v>
      </x:c>
      <x:c r="P204" s="88" t="str">
        <x:f>IF(AND(H204="Completed",G204&lt;&gt;"",F204&lt;&gt;""),G204-F204,"")</x:f>
      </x:c>
      <x:c r="Q204" s="89" t="str">
        <x:f>IF(OR(H204="On Hold",AND(I204="High",N204&gt;7,H204&lt;&gt;"Completed")),"Critical",IF(OR(AND(N204&gt;=1,N204&lt;=7,H204&lt;&gt;"Completed"),AND(O204&gt;7,H204&lt;&gt;"Completed")),"Warning","Normal"))</x:f>
        <x:v>Warning</x:v>
      </x:c>
      <x:c r="R204" s="90" t="str">
        <x:f>IF(AND(I204="High",N204&gt;7,H204&lt;&gt;"Completed"),"High-priority activity overdue by more than 7 days",IF(H204="On Hold","Activity is on hold",IF(AND(O204&gt;7,H204&lt;&gt;"Completed"),"Open activity has a stale update (&gt;7 days)",IF(AND(N204&gt;=1,N204&lt;=7,H204&lt;&gt;"Completed"),"Open activity overdue by 1-7 days",""))))</x:f>
        <x:v>Open activity has a stale update (&gt;7 days)</x:v>
      </x:c>
    </x:row>
    <x:row r="205">
      <x:c r="A205" s="84" t="str">
        <x:v>ACT-0201</x:v>
      </x:c>
      <x:c r="B205" s="85" t="str">
        <x:v>Procurement</x:v>
      </x:c>
      <x:c r="C205" s="85" t="str">
        <x:v>PROC-A</x:v>
      </x:c>
      <x:c r="D205" s="85" t="str">
        <x:v>Material Status Update</x:v>
      </x:c>
      <x:c r="E205" s="86" t="n">
        <x:v>46231</x:v>
      </x:c>
      <x:c r="F205" s="86" t="n">
        <x:v>46250</x:v>
      </x:c>
      <x:c r="G205" s="86" t="n">
        <x:v>46263</x:v>
      </x:c>
      <x:c r="H205" s="85" t="str">
        <x:v>Completed</x:v>
      </x:c>
      <x:c r="I205" s="85" t="str">
        <x:v>High</x:v>
      </x:c>
      <x:c r="J205" s="87" t="n">
        <x:v>100</x:v>
      </x:c>
      <x:c r="K205" s="85" t="str">
        <x:v>None</x:v>
      </x:c>
      <x:c r="L205" s="86" t="n">
        <x:v>46263</x:v>
      </x:c>
      <x:c r="M205" s="85" t="str">
        <x:v>Team Lead E</x:v>
      </x:c>
      <x:c r="N205" s="88" t="n">
        <x:f>IF(AND(H205&lt;&gt;"Completed",F205&lt;'Summary'!$B$3),'Summary'!$B$3-F205,0)</x:f>
        <x:v>0</x:v>
      </x:c>
      <x:c r="O205" s="88" t="n">
        <x:f>'Summary'!$B$3-L205</x:f>
        <x:v>3</x:v>
      </x:c>
      <x:c r="P205" s="88" t="n">
        <x:f>IF(AND(H205="Completed",G205&lt;&gt;"",F205&lt;&gt;""),G205-F205,"")</x:f>
        <x:v>13</x:v>
      </x:c>
      <x:c r="Q205" s="89" t="str">
        <x:f>IF(OR(H205="On Hold",AND(I205="High",N205&gt;7,H205&lt;&gt;"Completed")),"Critical",IF(OR(AND(N205&gt;=1,N205&lt;=7,H205&lt;&gt;"Completed"),AND(O205&gt;7,H205&lt;&gt;"Completed")),"Warning","Normal"))</x:f>
        <x:v>Normal</x:v>
      </x:c>
      <x:c r="R205" s="90" t="str">
        <x:f>IF(AND(I205="High",N205&gt;7,H205&lt;&gt;"Completed"),"High-priority activity overdue by more than 7 days",IF(H205="On Hold","Activity is on hold",IF(AND(O205&gt;7,H205&lt;&gt;"Completed"),"Open activity has a stale update (&gt;7 days)",IF(AND(N205&gt;=1,N205&lt;=7,H205&lt;&gt;"Completed"),"Open activity overdue by 1-7 days",""))))</x:f>
      </x:c>
    </x:row>
    <x:row r="206">
      <x:c r="A206" s="84" t="str">
        <x:v>ACT-0202</x:v>
      </x:c>
      <x:c r="B206" s="85" t="str">
        <x:v>Procurement</x:v>
      </x:c>
      <x:c r="C206" s="85" t="str">
        <x:v>PROC-A</x:v>
      </x:c>
      <x:c r="D206" s="85" t="str">
        <x:v>Material Status Update</x:v>
      </x:c>
      <x:c r="E206" s="86" t="n">
        <x:v>46242</x:v>
      </x:c>
      <x:c r="F206" s="86" t="n">
        <x:v>46249</x:v>
      </x:c>
      <x:c r="G206" s="86" t="n">
        <x:v>46258</x:v>
      </x:c>
      <x:c r="H206" s="85" t="str">
        <x:v>Completed</x:v>
      </x:c>
      <x:c r="I206" s="85" t="str">
        <x:v>Low</x:v>
      </x:c>
      <x:c r="J206" s="87" t="n">
        <x:v>100</x:v>
      </x:c>
      <x:c r="K206" s="85" t="str">
        <x:v>Material Delay</x:v>
      </x:c>
      <x:c r="L206" s="86" t="n">
        <x:v>46258</x:v>
      </x:c>
      <x:c r="M206" s="85" t="str">
        <x:v>Team Lead F</x:v>
      </x:c>
      <x:c r="N206" s="88" t="n">
        <x:f>IF(AND(H206&lt;&gt;"Completed",F206&lt;'Summary'!$B$3),'Summary'!$B$3-F206,0)</x:f>
        <x:v>0</x:v>
      </x:c>
      <x:c r="O206" s="88" t="n">
        <x:f>'Summary'!$B$3-L206</x:f>
        <x:v>8</x:v>
      </x:c>
      <x:c r="P206" s="88" t="n">
        <x:f>IF(AND(H206="Completed",G206&lt;&gt;"",F206&lt;&gt;""),G206-F206,"")</x:f>
        <x:v>9</x:v>
      </x:c>
      <x:c r="Q206" s="89" t="str">
        <x:f>IF(OR(H206="On Hold",AND(I206="High",N206&gt;7,H206&lt;&gt;"Completed")),"Critical",IF(OR(AND(N206&gt;=1,N206&lt;=7,H206&lt;&gt;"Completed"),AND(O206&gt;7,H206&lt;&gt;"Completed")),"Warning","Normal"))</x:f>
        <x:v>Normal</x:v>
      </x:c>
      <x:c r="R206" s="90" t="str">
        <x:f>IF(AND(I206="High",N206&gt;7,H206&lt;&gt;"Completed"),"High-priority activity overdue by more than 7 days",IF(H206="On Hold","Activity is on hold",IF(AND(O206&gt;7,H206&lt;&gt;"Completed"),"Open activity has a stale update (&gt;7 days)",IF(AND(N206&gt;=1,N206&lt;=7,H206&lt;&gt;"Completed"),"Open activity overdue by 1-7 days",""))))</x:f>
      </x:c>
    </x:row>
    <x:row r="207">
      <x:c r="A207" s="84" t="str">
        <x:v>ACT-0203</x:v>
      </x:c>
      <x:c r="B207" s="85" t="str">
        <x:v>Construction</x:v>
      </x:c>
      <x:c r="C207" s="85" t="str">
        <x:v>CONST-A</x:v>
      </x:c>
      <x:c r="D207" s="85" t="str">
        <x:v>Site Preparation</x:v>
      </x:c>
      <x:c r="E207" s="86" t="n">
        <x:v>46181</x:v>
      </x:c>
      <x:c r="F207" s="86" t="n">
        <x:v>46198</x:v>
      </x:c>
      <x:c r="G207" s="86" t="n">
        <x:v>46211</x:v>
      </x:c>
      <x:c r="H207" s="85" t="str">
        <x:v>Completed</x:v>
      </x:c>
      <x:c r="I207" s="85" t="str">
        <x:v>Medium</x:v>
      </x:c>
      <x:c r="J207" s="87" t="n">
        <x:v>100</x:v>
      </x:c>
      <x:c r="K207" s="85" t="str">
        <x:v>Approval Delay</x:v>
      </x:c>
      <x:c r="L207" s="86" t="n">
        <x:v>46211</x:v>
      </x:c>
      <x:c r="M207" s="85" t="str">
        <x:v>Team Lead F</x:v>
      </x:c>
      <x:c r="N207" s="88" t="n">
        <x:f>IF(AND(H207&lt;&gt;"Completed",F207&lt;'Summary'!$B$3),'Summary'!$B$3-F207,0)</x:f>
        <x:v>0</x:v>
      </x:c>
      <x:c r="O207" s="88" t="n">
        <x:f>'Summary'!$B$3-L207</x:f>
        <x:v>55</x:v>
      </x:c>
      <x:c r="P207" s="88" t="n">
        <x:f>IF(AND(H207="Completed",G207&lt;&gt;"",F207&lt;&gt;""),G207-F207,"")</x:f>
        <x:v>13</x:v>
      </x:c>
      <x:c r="Q207" s="89" t="str">
        <x:f>IF(OR(H207="On Hold",AND(I207="High",N207&gt;7,H207&lt;&gt;"Completed")),"Critical",IF(OR(AND(N207&gt;=1,N207&lt;=7,H207&lt;&gt;"Completed"),AND(O207&gt;7,H207&lt;&gt;"Completed")),"Warning","Normal"))</x:f>
        <x:v>Normal</x:v>
      </x:c>
      <x:c r="R207" s="90" t="str">
        <x:f>IF(AND(I207="High",N207&gt;7,H207&lt;&gt;"Completed"),"High-priority activity overdue by more than 7 days",IF(H207="On Hold","Activity is on hold",IF(AND(O207&gt;7,H207&lt;&gt;"Completed"),"Open activity has a stale update (&gt;7 days)",IF(AND(N207&gt;=1,N207&lt;=7,H207&lt;&gt;"Completed"),"Open activity overdue by 1-7 days",""))))</x:f>
      </x:c>
    </x:row>
    <x:row r="208">
      <x:c r="A208" s="84" t="str">
        <x:v>ACT-0204</x:v>
      </x:c>
      <x:c r="B208" s="85" t="str">
        <x:v>Project Controls</x:v>
      </x:c>
      <x:c r="C208" s="85" t="str">
        <x:v>PC-A</x:v>
      </x:c>
      <x:c r="D208" s="85" t="str">
        <x:v>Schedule Review</x:v>
      </x:c>
      <x:c r="E208" s="86" t="n">
        <x:v>46206</x:v>
      </x:c>
      <x:c r="F208" s="86" t="n">
        <x:v>46209</x:v>
      </x:c>
      <x:c r="G208" s="86"/>
      <x:c r="H208" s="85" t="str">
        <x:v>In Progress</x:v>
      </x:c>
      <x:c r="I208" s="85" t="str">
        <x:v>Medium</x:v>
      </x:c>
      <x:c r="J208" s="87" t="n">
        <x:v>25</x:v>
      </x:c>
      <x:c r="K208" s="85" t="str">
        <x:v>Approval Delay</x:v>
      </x:c>
      <x:c r="L208" s="86" t="n">
        <x:v>46260</x:v>
      </x:c>
      <x:c r="M208" s="85" t="str">
        <x:v>Team Lead A</x:v>
      </x:c>
      <x:c r="N208" s="88" t="n">
        <x:f>IF(AND(H208&lt;&gt;"Completed",F208&lt;'Summary'!$B$3),'Summary'!$B$3-F208,0)</x:f>
        <x:v>57</x:v>
      </x:c>
      <x:c r="O208" s="88" t="n">
        <x:f>'Summary'!$B$3-L208</x:f>
        <x:v>6</x:v>
      </x:c>
      <x:c r="P208" s="88" t="str">
        <x:f>IF(AND(H208="Completed",G208&lt;&gt;"",F208&lt;&gt;""),G208-F208,"")</x:f>
      </x:c>
      <x:c r="Q208" s="89" t="str">
        <x:f>IF(OR(H208="On Hold",AND(I208="High",N208&gt;7,H208&lt;&gt;"Completed")),"Critical",IF(OR(AND(N208&gt;=1,N208&lt;=7,H208&lt;&gt;"Completed"),AND(O208&gt;7,H208&lt;&gt;"Completed")),"Warning","Normal"))</x:f>
        <x:v>Normal</x:v>
      </x:c>
      <x:c r="R208" s="90" t="str">
        <x:f>IF(AND(I208="High",N208&gt;7,H208&lt;&gt;"Completed"),"High-priority activity overdue by more than 7 days",IF(H208="On Hold","Activity is on hold",IF(AND(O208&gt;7,H208&lt;&gt;"Completed"),"Open activity has a stale update (&gt;7 days)",IF(AND(N208&gt;=1,N208&lt;=7,H208&lt;&gt;"Completed"),"Open activity overdue by 1-7 days",""))))</x:f>
      </x:c>
    </x:row>
    <x:row r="209">
      <x:c r="A209" s="84" t="str">
        <x:v>ACT-0205</x:v>
      </x:c>
      <x:c r="B209" s="85" t="str">
        <x:v>Construction</x:v>
      </x:c>
      <x:c r="C209" s="85" t="str">
        <x:v>CONST-A</x:v>
      </x:c>
      <x:c r="D209" s="85" t="str">
        <x:v>Field Installation</x:v>
      </x:c>
      <x:c r="E209" s="86" t="n">
        <x:v>46234</x:v>
      </x:c>
      <x:c r="F209" s="86" t="n">
        <x:v>46238</x:v>
      </x:c>
      <x:c r="G209" s="86" t="n">
        <x:v>46237</x:v>
      </x:c>
      <x:c r="H209" s="85" t="str">
        <x:v>Completed</x:v>
      </x:c>
      <x:c r="I209" s="85" t="str">
        <x:v>High</x:v>
      </x:c>
      <x:c r="J209" s="87" t="n">
        <x:v>100</x:v>
      </x:c>
      <x:c r="K209" s="85" t="str">
        <x:v>None</x:v>
      </x:c>
      <x:c r="L209" s="86" t="n">
        <x:v>46234</x:v>
      </x:c>
      <x:c r="M209" s="85" t="str">
        <x:v>Team Lead D</x:v>
      </x:c>
      <x:c r="N209" s="88" t="n">
        <x:f>IF(AND(H209&lt;&gt;"Completed",F209&lt;'Summary'!$B$3),'Summary'!$B$3-F209,0)</x:f>
        <x:v>0</x:v>
      </x:c>
      <x:c r="O209" s="88" t="n">
        <x:f>'Summary'!$B$3-L209</x:f>
        <x:v>32</x:v>
      </x:c>
      <x:c r="P209" s="88" t="n">
        <x:f>IF(AND(H209="Completed",G209&lt;&gt;"",F209&lt;&gt;""),G209-F209,"")</x:f>
        <x:v>-1</x:v>
      </x:c>
      <x:c r="Q209" s="89" t="str">
        <x:f>IF(OR(H209="On Hold",AND(I209="High",N209&gt;7,H209&lt;&gt;"Completed")),"Critical",IF(OR(AND(N209&gt;=1,N209&lt;=7,H209&lt;&gt;"Completed"),AND(O209&gt;7,H209&lt;&gt;"Completed")),"Warning","Normal"))</x:f>
        <x:v>Normal</x:v>
      </x:c>
      <x:c r="R209" s="90" t="str">
        <x:f>IF(AND(I209="High",N209&gt;7,H209&lt;&gt;"Completed"),"High-priority activity overdue by more than 7 days",IF(H209="On Hold","Activity is on hold",IF(AND(O209&gt;7,H209&lt;&gt;"Completed"),"Open activity has a stale update (&gt;7 days)",IF(AND(N209&gt;=1,N209&lt;=7,H209&lt;&gt;"Completed"),"Open activity overdue by 1-7 days",""))))</x:f>
      </x:c>
    </x:row>
    <x:row r="210">
      <x:c r="A210" s="84" t="str">
        <x:v>ACT-0206</x:v>
      </x:c>
      <x:c r="B210" s="85" t="str">
        <x:v>QA/QC</x:v>
      </x:c>
      <x:c r="C210" s="85" t="str">
        <x:v>QA-B</x:v>
      </x:c>
      <x:c r="D210" s="85" t="str">
        <x:v>Quality Review</x:v>
      </x:c>
      <x:c r="E210" s="86" t="n">
        <x:v>46184</x:v>
      </x:c>
      <x:c r="F210" s="86" t="n">
        <x:v>46208</x:v>
      </x:c>
      <x:c r="G210" s="86"/>
      <x:c r="H210" s="85" t="str">
        <x:v>On Hold</x:v>
      </x:c>
      <x:c r="I210" s="85" t="str">
        <x:v>Low</x:v>
      </x:c>
      <x:c r="J210" s="87" t="n">
        <x:v>20</x:v>
      </x:c>
      <x:c r="K210" s="85" t="str">
        <x:v>Approval Delay</x:v>
      </x:c>
      <x:c r="L210" s="86" t="n">
        <x:v>46250</x:v>
      </x:c>
      <x:c r="M210" s="85" t="str">
        <x:v>Team Lead E</x:v>
      </x:c>
      <x:c r="N210" s="88" t="n">
        <x:f>IF(AND(H210&lt;&gt;"Completed",F210&lt;'Summary'!$B$3),'Summary'!$B$3-F210,0)</x:f>
        <x:v>58</x:v>
      </x:c>
      <x:c r="O210" s="88" t="n">
        <x:f>'Summary'!$B$3-L210</x:f>
        <x:v>16</x:v>
      </x:c>
      <x:c r="P210" s="88" t="str">
        <x:f>IF(AND(H210="Completed",G210&lt;&gt;"",F210&lt;&gt;""),G210-F210,"")</x:f>
      </x:c>
      <x:c r="Q210" s="89" t="str">
        <x:f>IF(OR(H210="On Hold",AND(I210="High",N210&gt;7,H210&lt;&gt;"Completed")),"Critical",IF(OR(AND(N210&gt;=1,N210&lt;=7,H210&lt;&gt;"Completed"),AND(O210&gt;7,H210&lt;&gt;"Completed")),"Warning","Normal"))</x:f>
        <x:v>Critical</x:v>
      </x:c>
      <x:c r="R210" s="90" t="str">
        <x:f>IF(AND(I210="High",N210&gt;7,H210&lt;&gt;"Completed"),"High-priority activity overdue by more than 7 days",IF(H210="On Hold","Activity is on hold",IF(AND(O210&gt;7,H210&lt;&gt;"Completed"),"Open activity has a stale update (&gt;7 days)",IF(AND(N210&gt;=1,N210&lt;=7,H210&lt;&gt;"Completed"),"Open activity overdue by 1-7 days",""))))</x:f>
        <x:v>Activity is on hold</x:v>
      </x:c>
    </x:row>
    <x:row r="211">
      <x:c r="A211" s="84" t="str">
        <x:v>ACT-0207</x:v>
      </x:c>
      <x:c r="B211" s="85" t="str">
        <x:v>QA/QC</x:v>
      </x:c>
      <x:c r="C211" s="85" t="str">
        <x:v>QA-A</x:v>
      </x:c>
      <x:c r="D211" s="85" t="str">
        <x:v>Inspection Request</x:v>
      </x:c>
      <x:c r="E211" s="86" t="n">
        <x:v>46174</x:v>
      </x:c>
      <x:c r="F211" s="86" t="n">
        <x:v>46201</x:v>
      </x:c>
      <x:c r="G211" s="86" t="n">
        <x:v>46213</x:v>
      </x:c>
      <x:c r="H211" s="85" t="str">
        <x:v>Completed</x:v>
      </x:c>
      <x:c r="I211" s="85" t="str">
        <x:v>Medium</x:v>
      </x:c>
      <x:c r="J211" s="87" t="n">
        <x:v>100</x:v>
      </x:c>
      <x:c r="K211" s="85" t="str">
        <x:v>None</x:v>
      </x:c>
      <x:c r="L211" s="86" t="n">
        <x:v>46210</x:v>
      </x:c>
      <x:c r="M211" s="85" t="str">
        <x:v>Team Lead B</x:v>
      </x:c>
      <x:c r="N211" s="88" t="n">
        <x:f>IF(AND(H211&lt;&gt;"Completed",F211&lt;'Summary'!$B$3),'Summary'!$B$3-F211,0)</x:f>
        <x:v>0</x:v>
      </x:c>
      <x:c r="O211" s="88" t="n">
        <x:f>'Summary'!$B$3-L211</x:f>
        <x:v>56</x:v>
      </x:c>
      <x:c r="P211" s="88" t="n">
        <x:f>IF(AND(H211="Completed",G211&lt;&gt;"",F211&lt;&gt;""),G211-F211,"")</x:f>
        <x:v>12</x:v>
      </x:c>
      <x:c r="Q211" s="89" t="str">
        <x:f>IF(OR(H211="On Hold",AND(I211="High",N211&gt;7,H211&lt;&gt;"Completed")),"Critical",IF(OR(AND(N211&gt;=1,N211&lt;=7,H211&lt;&gt;"Completed"),AND(O211&gt;7,H211&lt;&gt;"Completed")),"Warning","Normal"))</x:f>
        <x:v>Normal</x:v>
      </x:c>
      <x:c r="R211" s="90" t="str">
        <x:f>IF(AND(I211="High",N211&gt;7,H211&lt;&gt;"Completed"),"High-priority activity overdue by more than 7 days",IF(H211="On Hold","Activity is on hold",IF(AND(O211&gt;7,H211&lt;&gt;"Completed"),"Open activity has a stale update (&gt;7 days)",IF(AND(N211&gt;=1,N211&lt;=7,H211&lt;&gt;"Completed"),"Open activity overdue by 1-7 days",""))))</x:f>
      </x:c>
    </x:row>
    <x:row r="212">
      <x:c r="A212" s="84" t="str">
        <x:v>ACT-0208</x:v>
      </x:c>
      <x:c r="B212" s="85" t="str">
        <x:v>Engineering</x:v>
      </x:c>
      <x:c r="C212" s="85" t="str">
        <x:v>ENG-B</x:v>
      </x:c>
      <x:c r="D212" s="85" t="str">
        <x:v>RFI Closure</x:v>
      </x:c>
      <x:c r="E212" s="86" t="n">
        <x:v>46209</x:v>
      </x:c>
      <x:c r="F212" s="86" t="n">
        <x:v>46218</x:v>
      </x:c>
      <x:c r="G212" s="86"/>
      <x:c r="H212" s="85" t="str">
        <x:v>In Progress</x:v>
      </x:c>
      <x:c r="I212" s="85" t="str">
        <x:v>Medium</x:v>
      </x:c>
      <x:c r="J212" s="87" t="n">
        <x:v>35</x:v>
      </x:c>
      <x:c r="K212" s="85" t="str">
        <x:v>Documentation</x:v>
      </x:c>
      <x:c r="L212" s="86" t="n">
        <x:v>46266</x:v>
      </x:c>
      <x:c r="M212" s="85" t="str">
        <x:v>Team Lead D</x:v>
      </x:c>
      <x:c r="N212" s="88" t="n">
        <x:f>IF(AND(H212&lt;&gt;"Completed",F212&lt;'Summary'!$B$3),'Summary'!$B$3-F212,0)</x:f>
        <x:v>48</x:v>
      </x:c>
      <x:c r="O212" s="88" t="n">
        <x:f>'Summary'!$B$3-L212</x:f>
        <x:v>0</x:v>
      </x:c>
      <x:c r="P212" s="88" t="str">
        <x:f>IF(AND(H212="Completed",G212&lt;&gt;"",F212&lt;&gt;""),G212-F212,"")</x:f>
      </x:c>
      <x:c r="Q212" s="89" t="str">
        <x:f>IF(OR(H212="On Hold",AND(I212="High",N212&gt;7,H212&lt;&gt;"Completed")),"Critical",IF(OR(AND(N212&gt;=1,N212&lt;=7,H212&lt;&gt;"Completed"),AND(O212&gt;7,H212&lt;&gt;"Completed")),"Warning","Normal"))</x:f>
        <x:v>Normal</x:v>
      </x:c>
      <x:c r="R212" s="90" t="str">
        <x:f>IF(AND(I212="High",N212&gt;7,H212&lt;&gt;"Completed"),"High-priority activity overdue by more than 7 days",IF(H212="On Hold","Activity is on hold",IF(AND(O212&gt;7,H212&lt;&gt;"Completed"),"Open activity has a stale update (&gt;7 days)",IF(AND(N212&gt;=1,N212&lt;=7,H212&lt;&gt;"Completed"),"Open activity overdue by 1-7 days",""))))</x:f>
      </x:c>
    </x:row>
    <x:row r="213">
      <x:c r="A213" s="84" t="str">
        <x:v>ACT-0209</x:v>
      </x:c>
      <x:c r="B213" s="85" t="str">
        <x:v>Construction</x:v>
      </x:c>
      <x:c r="C213" s="85" t="str">
        <x:v>CONST-A</x:v>
      </x:c>
      <x:c r="D213" s="85" t="str">
        <x:v>Punch Clearance</x:v>
      </x:c>
      <x:c r="E213" s="86" t="n">
        <x:v>46200</x:v>
      </x:c>
      <x:c r="F213" s="86" t="n">
        <x:v>46205</x:v>
      </x:c>
      <x:c r="G213" s="86" t="n">
        <x:v>46219</x:v>
      </x:c>
      <x:c r="H213" s="85" t="str">
        <x:v>Completed</x:v>
      </x:c>
      <x:c r="I213" s="85" t="str">
        <x:v>High</x:v>
      </x:c>
      <x:c r="J213" s="87" t="n">
        <x:v>100</x:v>
      </x:c>
      <x:c r="K213" s="85" t="str">
        <x:v>None</x:v>
      </x:c>
      <x:c r="L213" s="86" t="n">
        <x:v>46219</x:v>
      </x:c>
      <x:c r="M213" s="85" t="str">
        <x:v>Team Lead A</x:v>
      </x:c>
      <x:c r="N213" s="88" t="n">
        <x:f>IF(AND(H213&lt;&gt;"Completed",F213&lt;'Summary'!$B$3),'Summary'!$B$3-F213,0)</x:f>
        <x:v>0</x:v>
      </x:c>
      <x:c r="O213" s="88" t="n">
        <x:f>'Summary'!$B$3-L213</x:f>
        <x:v>47</x:v>
      </x:c>
      <x:c r="P213" s="88" t="n">
        <x:f>IF(AND(H213="Completed",G213&lt;&gt;"",F213&lt;&gt;""),G213-F213,"")</x:f>
        <x:v>14</x:v>
      </x:c>
      <x:c r="Q213" s="89" t="str">
        <x:f>IF(OR(H213="On Hold",AND(I213="High",N213&gt;7,H213&lt;&gt;"Completed")),"Critical",IF(OR(AND(N213&gt;=1,N213&lt;=7,H213&lt;&gt;"Completed"),AND(O213&gt;7,H213&lt;&gt;"Completed")),"Warning","Normal"))</x:f>
        <x:v>Normal</x:v>
      </x:c>
      <x:c r="R213" s="90" t="str">
        <x:f>IF(AND(I213="High",N213&gt;7,H213&lt;&gt;"Completed"),"High-priority activity overdue by more than 7 days",IF(H213="On Hold","Activity is on hold",IF(AND(O213&gt;7,H213&lt;&gt;"Completed"),"Open activity has a stale update (&gt;7 days)",IF(AND(N213&gt;=1,N213&lt;=7,H213&lt;&gt;"Completed"),"Open activity overdue by 1-7 days",""))))</x:f>
      </x:c>
    </x:row>
    <x:row r="214">
      <x:c r="A214" s="84" t="str">
        <x:v>ACT-0210</x:v>
      </x:c>
      <x:c r="B214" s="85" t="str">
        <x:v>QA/QC</x:v>
      </x:c>
      <x:c r="C214" s="85" t="str">
        <x:v>QA-A</x:v>
      </x:c>
      <x:c r="D214" s="85" t="str">
        <x:v>Inspection Request</x:v>
      </x:c>
      <x:c r="E214" s="86" t="n">
        <x:v>46181</x:v>
      </x:c>
      <x:c r="F214" s="86" t="n">
        <x:v>46188</x:v>
      </x:c>
      <x:c r="G214" s="86" t="n">
        <x:v>46201</x:v>
      </x:c>
      <x:c r="H214" s="85" t="str">
        <x:v>Completed</x:v>
      </x:c>
      <x:c r="I214" s="85" t="str">
        <x:v>Medium</x:v>
      </x:c>
      <x:c r="J214" s="87" t="n">
        <x:v>100</x:v>
      </x:c>
      <x:c r="K214" s="85" t="str">
        <x:v>Approval Delay</x:v>
      </x:c>
      <x:c r="L214" s="86" t="n">
        <x:v>46199</x:v>
      </x:c>
      <x:c r="M214" s="85" t="str">
        <x:v>Team Lead F</x:v>
      </x:c>
      <x:c r="N214" s="88" t="n">
        <x:f>IF(AND(H214&lt;&gt;"Completed",F214&lt;'Summary'!$B$3),'Summary'!$B$3-F214,0)</x:f>
        <x:v>0</x:v>
      </x:c>
      <x:c r="O214" s="88" t="n">
        <x:f>'Summary'!$B$3-L214</x:f>
        <x:v>67</x:v>
      </x:c>
      <x:c r="P214" s="88" t="n">
        <x:f>IF(AND(H214="Completed",G214&lt;&gt;"",F214&lt;&gt;""),G214-F214,"")</x:f>
        <x:v>13</x:v>
      </x:c>
      <x:c r="Q214" s="89" t="str">
        <x:f>IF(OR(H214="On Hold",AND(I214="High",N214&gt;7,H214&lt;&gt;"Completed")),"Critical",IF(OR(AND(N214&gt;=1,N214&lt;=7,H214&lt;&gt;"Completed"),AND(O214&gt;7,H214&lt;&gt;"Completed")),"Warning","Normal"))</x:f>
        <x:v>Normal</x:v>
      </x:c>
      <x:c r="R214" s="90" t="str">
        <x:f>IF(AND(I214="High",N214&gt;7,H214&lt;&gt;"Completed"),"High-priority activity overdue by more than 7 days",IF(H214="On Hold","Activity is on hold",IF(AND(O214&gt;7,H214&lt;&gt;"Completed"),"Open activity has a stale update (&gt;7 days)",IF(AND(N214&gt;=1,N214&lt;=7,H214&lt;&gt;"Completed"),"Open activity overdue by 1-7 days",""))))</x:f>
      </x:c>
    </x:row>
    <x:row r="215">
      <x:c r="A215" s="84" t="str">
        <x:v>ACT-0211</x:v>
      </x:c>
      <x:c r="B215" s="85" t="str">
        <x:v>Project Controls</x:v>
      </x:c>
      <x:c r="C215" s="85" t="str">
        <x:v>PC-A</x:v>
      </x:c>
      <x:c r="D215" s="85" t="str">
        <x:v>Schedule Review</x:v>
      </x:c>
      <x:c r="E215" s="86" t="n">
        <x:v>46192</x:v>
      </x:c>
      <x:c r="F215" s="86" t="n">
        <x:v>46216</x:v>
      </x:c>
      <x:c r="G215" s="86" t="n">
        <x:v>46219</x:v>
      </x:c>
      <x:c r="H215" s="85" t="str">
        <x:v>Completed</x:v>
      </x:c>
      <x:c r="I215" s="85" t="str">
        <x:v>Medium</x:v>
      </x:c>
      <x:c r="J215" s="87" t="n">
        <x:v>100</x:v>
      </x:c>
      <x:c r="K215" s="85" t="str">
        <x:v>Approval Delay</x:v>
      </x:c>
      <x:c r="L215" s="86" t="n">
        <x:v>46219</x:v>
      </x:c>
      <x:c r="M215" s="85" t="str">
        <x:v>Team Lead E</x:v>
      </x:c>
      <x:c r="N215" s="88" t="n">
        <x:f>IF(AND(H215&lt;&gt;"Completed",F215&lt;'Summary'!$B$3),'Summary'!$B$3-F215,0)</x:f>
        <x:v>0</x:v>
      </x:c>
      <x:c r="O215" s="88" t="n">
        <x:f>'Summary'!$B$3-L215</x:f>
        <x:v>47</x:v>
      </x:c>
      <x:c r="P215" s="88" t="n">
        <x:f>IF(AND(H215="Completed",G215&lt;&gt;"",F215&lt;&gt;""),G215-F215,"")</x:f>
        <x:v>3</x:v>
      </x:c>
      <x:c r="Q215" s="89" t="str">
        <x:f>IF(OR(H215="On Hold",AND(I215="High",N215&gt;7,H215&lt;&gt;"Completed")),"Critical",IF(OR(AND(N215&gt;=1,N215&lt;=7,H215&lt;&gt;"Completed"),AND(O215&gt;7,H215&lt;&gt;"Completed")),"Warning","Normal"))</x:f>
        <x:v>Normal</x:v>
      </x:c>
      <x:c r="R215" s="90" t="str">
        <x:f>IF(AND(I215="High",N215&gt;7,H215&lt;&gt;"Completed"),"High-priority activity overdue by more than 7 days",IF(H215="On Hold","Activity is on hold",IF(AND(O215&gt;7,H215&lt;&gt;"Completed"),"Open activity has a stale update (&gt;7 days)",IF(AND(N215&gt;=1,N215&lt;=7,H215&lt;&gt;"Completed"),"Open activity overdue by 1-7 days",""))))</x:f>
      </x:c>
    </x:row>
    <x:row r="216">
      <x:c r="A216" s="84" t="str">
        <x:v>ACT-0212</x:v>
      </x:c>
      <x:c r="B216" s="85" t="str">
        <x:v>Procurement</x:v>
      </x:c>
      <x:c r="C216" s="85" t="str">
        <x:v>PROC-A</x:v>
      </x:c>
      <x:c r="D216" s="85" t="str">
        <x:v>Material Status Update</x:v>
      </x:c>
      <x:c r="E216" s="86" t="n">
        <x:v>46260</x:v>
      </x:c>
      <x:c r="F216" s="86" t="n">
        <x:v>46276</x:v>
      </x:c>
      <x:c r="G216" s="86"/>
      <x:c r="H216" s="85" t="str">
        <x:v>In Progress</x:v>
      </x:c>
      <x:c r="I216" s="85" t="str">
        <x:v>High</x:v>
      </x:c>
      <x:c r="J216" s="87" t="n">
        <x:v>60</x:v>
      </x:c>
      <x:c r="K216" s="85" t="str">
        <x:v>Rework</x:v>
      </x:c>
      <x:c r="L216" s="86" t="n">
        <x:v>46256</x:v>
      </x:c>
      <x:c r="M216" s="85" t="str">
        <x:v>Team Lead E</x:v>
      </x:c>
      <x:c r="N216" s="88" t="n">
        <x:f>IF(AND(H216&lt;&gt;"Completed",F216&lt;'Summary'!$B$3),'Summary'!$B$3-F216,0)</x:f>
        <x:v>0</x:v>
      </x:c>
      <x:c r="O216" s="88" t="n">
        <x:f>'Summary'!$B$3-L216</x:f>
        <x:v>10</x:v>
      </x:c>
      <x:c r="P216" s="88" t="str">
        <x:f>IF(AND(H216="Completed",G216&lt;&gt;"",F216&lt;&gt;""),G216-F216,"")</x:f>
      </x:c>
      <x:c r="Q216" s="89" t="str">
        <x:f>IF(OR(H216="On Hold",AND(I216="High",N216&gt;7,H216&lt;&gt;"Completed")),"Critical",IF(OR(AND(N216&gt;=1,N216&lt;=7,H216&lt;&gt;"Completed"),AND(O216&gt;7,H216&lt;&gt;"Completed")),"Warning","Normal"))</x:f>
        <x:v>Warning</x:v>
      </x:c>
      <x:c r="R216" s="90" t="str">
        <x:f>IF(AND(I216="High",N216&gt;7,H216&lt;&gt;"Completed"),"High-priority activity overdue by more than 7 days",IF(H216="On Hold","Activity is on hold",IF(AND(O216&gt;7,H216&lt;&gt;"Completed"),"Open activity has a stale update (&gt;7 days)",IF(AND(N216&gt;=1,N216&lt;=7,H216&lt;&gt;"Completed"),"Open activity overdue by 1-7 days",""))))</x:f>
        <x:v>Open activity has a stale update (&gt;7 days)</x:v>
      </x:c>
    </x:row>
    <x:row r="217">
      <x:c r="A217" s="84" t="str">
        <x:v>ACT-0213</x:v>
      </x:c>
      <x:c r="B217" s="85" t="str">
        <x:v>QA/QC</x:v>
      </x:c>
      <x:c r="C217" s="85" t="str">
        <x:v>QA-B</x:v>
      </x:c>
      <x:c r="D217" s="85" t="str">
        <x:v>Quality Review</x:v>
      </x:c>
      <x:c r="E217" s="86" t="n">
        <x:v>46193</x:v>
      </x:c>
      <x:c r="F217" s="86" t="n">
        <x:v>46205</x:v>
      </x:c>
      <x:c r="G217" s="86" t="n">
        <x:v>46215</x:v>
      </x:c>
      <x:c r="H217" s="85" t="str">
        <x:v>Completed</x:v>
      </x:c>
      <x:c r="I217" s="85" t="str">
        <x:v>Low</x:v>
      </x:c>
      <x:c r="J217" s="87" t="n">
        <x:v>100</x:v>
      </x:c>
      <x:c r="K217" s="85" t="str">
        <x:v>Rework</x:v>
      </x:c>
      <x:c r="L217" s="86" t="n">
        <x:v>46214</x:v>
      </x:c>
      <x:c r="M217" s="85" t="str">
        <x:v>Team Lead C</x:v>
      </x:c>
      <x:c r="N217" s="88" t="n">
        <x:f>IF(AND(H217&lt;&gt;"Completed",F217&lt;'Summary'!$B$3),'Summary'!$B$3-F217,0)</x:f>
        <x:v>0</x:v>
      </x:c>
      <x:c r="O217" s="88" t="n">
        <x:f>'Summary'!$B$3-L217</x:f>
        <x:v>52</x:v>
      </x:c>
      <x:c r="P217" s="88" t="n">
        <x:f>IF(AND(H217="Completed",G217&lt;&gt;"",F217&lt;&gt;""),G217-F217,"")</x:f>
        <x:v>10</x:v>
      </x:c>
      <x:c r="Q217" s="89" t="str">
        <x:f>IF(OR(H217="On Hold",AND(I217="High",N217&gt;7,H217&lt;&gt;"Completed")),"Critical",IF(OR(AND(N217&gt;=1,N217&lt;=7,H217&lt;&gt;"Completed"),AND(O217&gt;7,H217&lt;&gt;"Completed")),"Warning","Normal"))</x:f>
        <x:v>Normal</x:v>
      </x:c>
      <x:c r="R217" s="90" t="str">
        <x:f>IF(AND(I217="High",N217&gt;7,H217&lt;&gt;"Completed"),"High-priority activity overdue by more than 7 days",IF(H217="On Hold","Activity is on hold",IF(AND(O217&gt;7,H217&lt;&gt;"Completed"),"Open activity has a stale update (&gt;7 days)",IF(AND(N217&gt;=1,N217&lt;=7,H217&lt;&gt;"Completed"),"Open activity overdue by 1-7 days",""))))</x:f>
      </x:c>
    </x:row>
    <x:row r="218">
      <x:c r="A218" s="84" t="str">
        <x:v>ACT-0214</x:v>
      </x:c>
      <x:c r="B218" s="85" t="str">
        <x:v>Procurement</x:v>
      </x:c>
      <x:c r="C218" s="85" t="str">
        <x:v>PROC-A</x:v>
      </x:c>
      <x:c r="D218" s="85" t="str">
        <x:v>Vendor Follow-up</x:v>
      </x:c>
      <x:c r="E218" s="86" t="n">
        <x:v>46181</x:v>
      </x:c>
      <x:c r="F218" s="86" t="n">
        <x:v>46201</x:v>
      </x:c>
      <x:c r="G218" s="86" t="n">
        <x:v>46212</x:v>
      </x:c>
      <x:c r="H218" s="85" t="str">
        <x:v>Completed</x:v>
      </x:c>
      <x:c r="I218" s="85" t="str">
        <x:v>Medium</x:v>
      </x:c>
      <x:c r="J218" s="87" t="n">
        <x:v>100</x:v>
      </x:c>
      <x:c r="K218" s="85" t="str">
        <x:v>None</x:v>
      </x:c>
      <x:c r="L218" s="86" t="n">
        <x:v>46211</x:v>
      </x:c>
      <x:c r="M218" s="85" t="str">
        <x:v>Team Lead C</x:v>
      </x:c>
      <x:c r="N218" s="88" t="n">
        <x:f>IF(AND(H218&lt;&gt;"Completed",F218&lt;'Summary'!$B$3),'Summary'!$B$3-F218,0)</x:f>
        <x:v>0</x:v>
      </x:c>
      <x:c r="O218" s="88" t="n">
        <x:f>'Summary'!$B$3-L218</x:f>
        <x:v>55</x:v>
      </x:c>
      <x:c r="P218" s="88" t="n">
        <x:f>IF(AND(H218="Completed",G218&lt;&gt;"",F218&lt;&gt;""),G218-F218,"")</x:f>
        <x:v>11</x:v>
      </x:c>
      <x:c r="Q218" s="89" t="str">
        <x:f>IF(OR(H218="On Hold",AND(I218="High",N218&gt;7,H218&lt;&gt;"Completed")),"Critical",IF(OR(AND(N218&gt;=1,N218&lt;=7,H218&lt;&gt;"Completed"),AND(O218&gt;7,H218&lt;&gt;"Completed")),"Warning","Normal"))</x:f>
        <x:v>Normal</x:v>
      </x:c>
      <x:c r="R218" s="90" t="str">
        <x:f>IF(AND(I218="High",N218&gt;7,H218&lt;&gt;"Completed"),"High-priority activity overdue by more than 7 days",IF(H218="On Hold","Activity is on hold",IF(AND(O218&gt;7,H218&lt;&gt;"Completed"),"Open activity has a stale update (&gt;7 days)",IF(AND(N218&gt;=1,N218&lt;=7,H218&lt;&gt;"Completed"),"Open activity overdue by 1-7 days",""))))</x:f>
      </x:c>
    </x:row>
    <x:row r="219">
      <x:c r="A219" s="84" t="str">
        <x:v>ACT-0215</x:v>
      </x:c>
      <x:c r="B219" s="85" t="str">
        <x:v>Engineering</x:v>
      </x:c>
      <x:c r="C219" s="85" t="str">
        <x:v>ENG-A</x:v>
      </x:c>
      <x:c r="D219" s="85" t="str">
        <x:v>Design Update</x:v>
      </x:c>
      <x:c r="E219" s="86" t="n">
        <x:v>46221</x:v>
      </x:c>
      <x:c r="F219" s="86" t="n">
        <x:v>46226</x:v>
      </x:c>
      <x:c r="G219" s="86" t="n">
        <x:v>46222</x:v>
      </x:c>
      <x:c r="H219" s="85" t="str">
        <x:v>Completed</x:v>
      </x:c>
      <x:c r="I219" s="85" t="str">
        <x:v>Low</x:v>
      </x:c>
      <x:c r="J219" s="87" t="n">
        <x:v>100</x:v>
      </x:c>
      <x:c r="K219" s="85" t="str">
        <x:v>None</x:v>
      </x:c>
      <x:c r="L219" s="86" t="n">
        <x:v>46220</x:v>
      </x:c>
      <x:c r="M219" s="85" t="str">
        <x:v>Team Lead E</x:v>
      </x:c>
      <x:c r="N219" s="88" t="n">
        <x:f>IF(AND(H219&lt;&gt;"Completed",F219&lt;'Summary'!$B$3),'Summary'!$B$3-F219,0)</x:f>
        <x:v>0</x:v>
      </x:c>
      <x:c r="O219" s="88" t="n">
        <x:f>'Summary'!$B$3-L219</x:f>
        <x:v>46</x:v>
      </x:c>
      <x:c r="P219" s="88" t="n">
        <x:f>IF(AND(H219="Completed",G219&lt;&gt;"",F219&lt;&gt;""),G219-F219,"")</x:f>
        <x:v>-4</x:v>
      </x:c>
      <x:c r="Q219" s="89" t="str">
        <x:f>IF(OR(H219="On Hold",AND(I219="High",N219&gt;7,H219&lt;&gt;"Completed")),"Critical",IF(OR(AND(N219&gt;=1,N219&lt;=7,H219&lt;&gt;"Completed"),AND(O219&gt;7,H219&lt;&gt;"Completed")),"Warning","Normal"))</x:f>
        <x:v>Normal</x:v>
      </x:c>
      <x:c r="R219" s="90" t="str">
        <x:f>IF(AND(I219="High",N219&gt;7,H219&lt;&gt;"Completed"),"High-priority activity overdue by more than 7 days",IF(H219="On Hold","Activity is on hold",IF(AND(O219&gt;7,H219&lt;&gt;"Completed"),"Open activity has a stale update (&gt;7 days)",IF(AND(N219&gt;=1,N219&lt;=7,H219&lt;&gt;"Completed"),"Open activity overdue by 1-7 days",""))))</x:f>
      </x:c>
    </x:row>
    <x:row r="220">
      <x:c r="A220" s="84" t="str">
        <x:v>ACT-0216</x:v>
      </x:c>
      <x:c r="B220" s="85" t="str">
        <x:v>Construction</x:v>
      </x:c>
      <x:c r="C220" s="85" t="str">
        <x:v>CONST-A</x:v>
      </x:c>
      <x:c r="D220" s="85" t="str">
        <x:v>Punch Clearance</x:v>
      </x:c>
      <x:c r="E220" s="86" t="n">
        <x:v>46249</x:v>
      </x:c>
      <x:c r="F220" s="86" t="n">
        <x:v>46275</x:v>
      </x:c>
      <x:c r="G220" s="86"/>
      <x:c r="H220" s="85" t="str">
        <x:v>On Hold</x:v>
      </x:c>
      <x:c r="I220" s="85" t="str">
        <x:v>High</x:v>
      </x:c>
      <x:c r="J220" s="87" t="n">
        <x:v>20</x:v>
      </x:c>
      <x:c r="K220" s="85" t="str">
        <x:v>Material Delay</x:v>
      </x:c>
      <x:c r="L220" s="86" t="n">
        <x:v>46251</x:v>
      </x:c>
      <x:c r="M220" s="85" t="str">
        <x:v>Team Lead A</x:v>
      </x:c>
      <x:c r="N220" s="88" t="n">
        <x:f>IF(AND(H220&lt;&gt;"Completed",F220&lt;'Summary'!$B$3),'Summary'!$B$3-F220,0)</x:f>
        <x:v>0</x:v>
      </x:c>
      <x:c r="O220" s="88" t="n">
        <x:f>'Summary'!$B$3-L220</x:f>
        <x:v>15</x:v>
      </x:c>
      <x:c r="P220" s="88" t="str">
        <x:f>IF(AND(H220="Completed",G220&lt;&gt;"",F220&lt;&gt;""),G220-F220,"")</x:f>
      </x:c>
      <x:c r="Q220" s="89" t="str">
        <x:f>IF(OR(H220="On Hold",AND(I220="High",N220&gt;7,H220&lt;&gt;"Completed")),"Critical",IF(OR(AND(N220&gt;=1,N220&lt;=7,H220&lt;&gt;"Completed"),AND(O220&gt;7,H220&lt;&gt;"Completed")),"Warning","Normal"))</x:f>
        <x:v>Critical</x:v>
      </x:c>
      <x:c r="R220" s="90" t="str">
        <x:f>IF(AND(I220="High",N220&gt;7,H220&lt;&gt;"Completed"),"High-priority activity overdue by more than 7 days",IF(H220="On Hold","Activity is on hold",IF(AND(O220&gt;7,H220&lt;&gt;"Completed"),"Open activity has a stale update (&gt;7 days)",IF(AND(N220&gt;=1,N220&lt;=7,H220&lt;&gt;"Completed"),"Open activity overdue by 1-7 days",""))))</x:f>
        <x:v>Activity is on hold</x:v>
      </x:c>
    </x:row>
    <x:row r="221">
      <x:c r="A221" s="84" t="str">
        <x:v>ACT-0217</x:v>
      </x:c>
      <x:c r="B221" s="85" t="str">
        <x:v>Engineering</x:v>
      </x:c>
      <x:c r="C221" s="85" t="str">
        <x:v>ENG-A</x:v>
      </x:c>
      <x:c r="D221" s="85" t="str">
        <x:v>Drawing Review</x:v>
      </x:c>
      <x:c r="E221" s="86" t="n">
        <x:v>46235</x:v>
      </x:c>
      <x:c r="F221" s="86" t="n">
        <x:v>46245</x:v>
      </x:c>
      <x:c r="G221" s="86" t="n">
        <x:v>46252</x:v>
      </x:c>
      <x:c r="H221" s="85" t="str">
        <x:v>Completed</x:v>
      </x:c>
      <x:c r="I221" s="85" t="str">
        <x:v>Medium</x:v>
      </x:c>
      <x:c r="J221" s="87" t="n">
        <x:v>100</x:v>
      </x:c>
      <x:c r="K221" s="85" t="str">
        <x:v>Approval Delay</x:v>
      </x:c>
      <x:c r="L221" s="86" t="n">
        <x:v>46251</x:v>
      </x:c>
      <x:c r="M221" s="85" t="str">
        <x:v>Team Lead C</x:v>
      </x:c>
      <x:c r="N221" s="88" t="n">
        <x:f>IF(AND(H221&lt;&gt;"Completed",F221&lt;'Summary'!$B$3),'Summary'!$B$3-F221,0)</x:f>
        <x:v>0</x:v>
      </x:c>
      <x:c r="O221" s="88" t="n">
        <x:f>'Summary'!$B$3-L221</x:f>
        <x:v>15</x:v>
      </x:c>
      <x:c r="P221" s="88" t="n">
        <x:f>IF(AND(H221="Completed",G221&lt;&gt;"",F221&lt;&gt;""),G221-F221,"")</x:f>
        <x:v>7</x:v>
      </x:c>
      <x:c r="Q221" s="89" t="str">
        <x:f>IF(OR(H221="On Hold",AND(I221="High",N221&gt;7,H221&lt;&gt;"Completed")),"Critical",IF(OR(AND(N221&gt;=1,N221&lt;=7,H221&lt;&gt;"Completed"),AND(O221&gt;7,H221&lt;&gt;"Completed")),"Warning","Normal"))</x:f>
        <x:v>Normal</x:v>
      </x:c>
      <x:c r="R221" s="90" t="str">
        <x:f>IF(AND(I221="High",N221&gt;7,H221&lt;&gt;"Completed"),"High-priority activity overdue by more than 7 days",IF(H221="On Hold","Activity is on hold",IF(AND(O221&gt;7,H221&lt;&gt;"Completed"),"Open activity has a stale update (&gt;7 days)",IF(AND(N221&gt;=1,N221&lt;=7,H221&lt;&gt;"Completed"),"Open activity overdue by 1-7 days",""))))</x:f>
      </x:c>
    </x:row>
    <x:row r="222">
      <x:c r="A222" s="84" t="str">
        <x:v>ACT-0218</x:v>
      </x:c>
      <x:c r="B222" s="85" t="str">
        <x:v>QA/QC</x:v>
      </x:c>
      <x:c r="C222" s="85" t="str">
        <x:v>QA-B</x:v>
      </x:c>
      <x:c r="D222" s="85" t="str">
        <x:v>Punch Clearance</x:v>
      </x:c>
      <x:c r="E222" s="86" t="n">
        <x:v>46207</x:v>
      </x:c>
      <x:c r="F222" s="86" t="n">
        <x:v>46221</x:v>
      </x:c>
      <x:c r="G222" s="86" t="n">
        <x:v>46219</x:v>
      </x:c>
      <x:c r="H222" s="85" t="str">
        <x:v>Completed</x:v>
      </x:c>
      <x:c r="I222" s="85" t="str">
        <x:v>Medium</x:v>
      </x:c>
      <x:c r="J222" s="87" t="n">
        <x:v>100</x:v>
      </x:c>
      <x:c r="K222" s="85" t="str">
        <x:v>Manpower</x:v>
      </x:c>
      <x:c r="L222" s="86" t="n">
        <x:v>46216</x:v>
      </x:c>
      <x:c r="M222" s="85" t="str">
        <x:v>Team Lead C</x:v>
      </x:c>
      <x:c r="N222" s="88" t="n">
        <x:f>IF(AND(H222&lt;&gt;"Completed",F222&lt;'Summary'!$B$3),'Summary'!$B$3-F222,0)</x:f>
        <x:v>0</x:v>
      </x:c>
      <x:c r="O222" s="88" t="n">
        <x:f>'Summary'!$B$3-L222</x:f>
        <x:v>50</x:v>
      </x:c>
      <x:c r="P222" s="88" t="n">
        <x:f>IF(AND(H222="Completed",G222&lt;&gt;"",F222&lt;&gt;""),G222-F222,"")</x:f>
        <x:v>-2</x:v>
      </x:c>
      <x:c r="Q222" s="89" t="str">
        <x:f>IF(OR(H222="On Hold",AND(I222="High",N222&gt;7,H222&lt;&gt;"Completed")),"Critical",IF(OR(AND(N222&gt;=1,N222&lt;=7,H222&lt;&gt;"Completed"),AND(O222&gt;7,H222&lt;&gt;"Completed")),"Warning","Normal"))</x:f>
        <x:v>Normal</x:v>
      </x:c>
      <x:c r="R222" s="90" t="str">
        <x:f>IF(AND(I222="High",N222&gt;7,H222&lt;&gt;"Completed"),"High-priority activity overdue by more than 7 days",IF(H222="On Hold","Activity is on hold",IF(AND(O222&gt;7,H222&lt;&gt;"Completed"),"Open activity has a stale update (&gt;7 days)",IF(AND(N222&gt;=1,N222&lt;=7,H222&lt;&gt;"Completed"),"Open activity overdue by 1-7 days",""))))</x:f>
      </x:c>
    </x:row>
    <x:row r="223">
      <x:c r="A223" s="84" t="str">
        <x:v>ACT-0219</x:v>
      </x:c>
      <x:c r="B223" s="85" t="str">
        <x:v>Procurement</x:v>
      </x:c>
      <x:c r="C223" s="85" t="str">
        <x:v>PROC-A</x:v>
      </x:c>
      <x:c r="D223" s="85" t="str">
        <x:v>Vendor Follow-up</x:v>
      </x:c>
      <x:c r="E223" s="86" t="n">
        <x:v>46226</x:v>
      </x:c>
      <x:c r="F223" s="86" t="n">
        <x:v>46230</x:v>
      </x:c>
      <x:c r="G223" s="86" t="n">
        <x:v>46229</x:v>
      </x:c>
      <x:c r="H223" s="85" t="str">
        <x:v>Completed</x:v>
      </x:c>
      <x:c r="I223" s="85" t="str">
        <x:v>Medium</x:v>
      </x:c>
      <x:c r="J223" s="87" t="n">
        <x:v>100</x:v>
      </x:c>
      <x:c r="K223" s="85" t="str">
        <x:v>None</x:v>
      </x:c>
      <x:c r="L223" s="86" t="n">
        <x:v>46229</x:v>
      </x:c>
      <x:c r="M223" s="85" t="str">
        <x:v>Team Lead E</x:v>
      </x:c>
      <x:c r="N223" s="88" t="n">
        <x:f>IF(AND(H223&lt;&gt;"Completed",F223&lt;'Summary'!$B$3),'Summary'!$B$3-F223,0)</x:f>
        <x:v>0</x:v>
      </x:c>
      <x:c r="O223" s="88" t="n">
        <x:f>'Summary'!$B$3-L223</x:f>
        <x:v>37</x:v>
      </x:c>
      <x:c r="P223" s="88" t="n">
        <x:f>IF(AND(H223="Completed",G223&lt;&gt;"",F223&lt;&gt;""),G223-F223,"")</x:f>
        <x:v>-1</x:v>
      </x:c>
      <x:c r="Q223" s="89" t="str">
        <x:f>IF(OR(H223="On Hold",AND(I223="High",N223&gt;7,H223&lt;&gt;"Completed")),"Critical",IF(OR(AND(N223&gt;=1,N223&lt;=7,H223&lt;&gt;"Completed"),AND(O223&gt;7,H223&lt;&gt;"Completed")),"Warning","Normal"))</x:f>
        <x:v>Normal</x:v>
      </x:c>
      <x:c r="R223" s="90" t="str">
        <x:f>IF(AND(I223="High",N223&gt;7,H223&lt;&gt;"Completed"),"High-priority activity overdue by more than 7 days",IF(H223="On Hold","Activity is on hold",IF(AND(O223&gt;7,H223&lt;&gt;"Completed"),"Open activity has a stale update (&gt;7 days)",IF(AND(N223&gt;=1,N223&lt;=7,H223&lt;&gt;"Completed"),"Open activity overdue by 1-7 days",""))))</x:f>
      </x:c>
    </x:row>
    <x:row r="224">
      <x:c r="A224" s="84" t="str">
        <x:v>ACT-0220</x:v>
      </x:c>
      <x:c r="B224" s="85" t="str">
        <x:v>Construction</x:v>
      </x:c>
      <x:c r="C224" s="85" t="str">
        <x:v>CONST-B</x:v>
      </x:c>
      <x:c r="D224" s="85" t="str">
        <x:v>Progress Update</x:v>
      </x:c>
      <x:c r="E224" s="86" t="n">
        <x:v>46193</x:v>
      </x:c>
      <x:c r="F224" s="86" t="n">
        <x:v>46202</x:v>
      </x:c>
      <x:c r="G224" s="86" t="n">
        <x:v>46204</x:v>
      </x:c>
      <x:c r="H224" s="85" t="str">
        <x:v>Completed</x:v>
      </x:c>
      <x:c r="I224" s="85" t="str">
        <x:v>Medium</x:v>
      </x:c>
      <x:c r="J224" s="87" t="n">
        <x:v>100</x:v>
      </x:c>
      <x:c r="K224" s="85" t="str">
        <x:v>Approval Delay</x:v>
      </x:c>
      <x:c r="L224" s="86" t="n">
        <x:v>46201</x:v>
      </x:c>
      <x:c r="M224" s="85" t="str">
        <x:v>Team Lead F</x:v>
      </x:c>
      <x:c r="N224" s="88" t="n">
        <x:f>IF(AND(H224&lt;&gt;"Completed",F224&lt;'Summary'!$B$3),'Summary'!$B$3-F224,0)</x:f>
        <x:v>0</x:v>
      </x:c>
      <x:c r="O224" s="88" t="n">
        <x:f>'Summary'!$B$3-L224</x:f>
        <x:v>65</x:v>
      </x:c>
      <x:c r="P224" s="88" t="n">
        <x:f>IF(AND(H224="Completed",G224&lt;&gt;"",F224&lt;&gt;""),G224-F224,"")</x:f>
        <x:v>2</x:v>
      </x:c>
      <x:c r="Q224" s="89" t="str">
        <x:f>IF(OR(H224="On Hold",AND(I224="High",N224&gt;7,H224&lt;&gt;"Completed")),"Critical",IF(OR(AND(N224&gt;=1,N224&lt;=7,H224&lt;&gt;"Completed"),AND(O224&gt;7,H224&lt;&gt;"Completed")),"Warning","Normal"))</x:f>
        <x:v>Normal</x:v>
      </x:c>
      <x:c r="R224" s="90" t="str">
        <x:f>IF(AND(I224="High",N224&gt;7,H224&lt;&gt;"Completed"),"High-priority activity overdue by more than 7 days",IF(H224="On Hold","Activity is on hold",IF(AND(O224&gt;7,H224&lt;&gt;"Completed"),"Open activity has a stale update (&gt;7 days)",IF(AND(N224&gt;=1,N224&lt;=7,H224&lt;&gt;"Completed"),"Open activity overdue by 1-7 days",""))))</x:f>
      </x:c>
    </x:row>
    <x:row r="225">
      <x:c r="A225" s="84" t="str">
        <x:v>ACT-0221</x:v>
      </x:c>
      <x:c r="B225" s="85" t="str">
        <x:v>QA/QC</x:v>
      </x:c>
      <x:c r="C225" s="85" t="str">
        <x:v>QA-B</x:v>
      </x:c>
      <x:c r="D225" s="85" t="str">
        <x:v>Quality Review</x:v>
      </x:c>
      <x:c r="E225" s="86" t="n">
        <x:v>46232</x:v>
      </x:c>
      <x:c r="F225" s="86" t="n">
        <x:v>46240</x:v>
      </x:c>
      <x:c r="G225" s="86"/>
      <x:c r="H225" s="85" t="str">
        <x:v>In Progress</x:v>
      </x:c>
      <x:c r="I225" s="85" t="str">
        <x:v>Medium</x:v>
      </x:c>
      <x:c r="J225" s="87" t="n">
        <x:v>40</x:v>
      </x:c>
      <x:c r="K225" s="85" t="str">
        <x:v>Material Delay</x:v>
      </x:c>
      <x:c r="L225" s="86" t="n">
        <x:v>46255</x:v>
      </x:c>
      <x:c r="M225" s="85" t="str">
        <x:v>Team Lead B</x:v>
      </x:c>
      <x:c r="N225" s="88" t="n">
        <x:f>IF(AND(H225&lt;&gt;"Completed",F225&lt;'Summary'!$B$3),'Summary'!$B$3-F225,0)</x:f>
        <x:v>26</x:v>
      </x:c>
      <x:c r="O225" s="88" t="n">
        <x:f>'Summary'!$B$3-L225</x:f>
        <x:v>11</x:v>
      </x:c>
      <x:c r="P225" s="88" t="str">
        <x:f>IF(AND(H225="Completed",G225&lt;&gt;"",F225&lt;&gt;""),G225-F225,"")</x:f>
      </x:c>
      <x:c r="Q225" s="89" t="str">
        <x:f>IF(OR(H225="On Hold",AND(I225="High",N225&gt;7,H225&lt;&gt;"Completed")),"Critical",IF(OR(AND(N225&gt;=1,N225&lt;=7,H225&lt;&gt;"Completed"),AND(O225&gt;7,H225&lt;&gt;"Completed")),"Warning","Normal"))</x:f>
        <x:v>Warning</x:v>
      </x:c>
      <x:c r="R225" s="90" t="str">
        <x:f>IF(AND(I225="High",N225&gt;7,H225&lt;&gt;"Completed"),"High-priority activity overdue by more than 7 days",IF(H225="On Hold","Activity is on hold",IF(AND(O225&gt;7,H225&lt;&gt;"Completed"),"Open activity has a stale update (&gt;7 days)",IF(AND(N225&gt;=1,N225&lt;=7,H225&lt;&gt;"Completed"),"Open activity overdue by 1-7 days",""))))</x:f>
        <x:v>Open activity has a stale update (&gt;7 days)</x:v>
      </x:c>
    </x:row>
    <x:row r="226">
      <x:c r="A226" s="84" t="str">
        <x:v>ACT-0222</x:v>
      </x:c>
      <x:c r="B226" s="85" t="str">
        <x:v>Procurement</x:v>
      </x:c>
      <x:c r="C226" s="85" t="str">
        <x:v>PROC-A</x:v>
      </x:c>
      <x:c r="D226" s="85" t="str">
        <x:v>Material Status Update</x:v>
      </x:c>
      <x:c r="E226" s="86" t="n">
        <x:v>46178</x:v>
      </x:c>
      <x:c r="F226" s="86" t="n">
        <x:v>46183</x:v>
      </x:c>
      <x:c r="G226" s="86"/>
      <x:c r="H226" s="85" t="str">
        <x:v>On Hold</x:v>
      </x:c>
      <x:c r="I226" s="85" t="str">
        <x:v>Medium</x:v>
      </x:c>
      <x:c r="J226" s="87" t="n">
        <x:v>70</x:v>
      </x:c>
      <x:c r="K226" s="85" t="str">
        <x:v>Material Delay</x:v>
      </x:c>
      <x:c r="L226" s="86" t="n">
        <x:v>46261</x:v>
      </x:c>
      <x:c r="M226" s="85" t="str">
        <x:v>Team Lead F</x:v>
      </x:c>
      <x:c r="N226" s="88" t="n">
        <x:f>IF(AND(H226&lt;&gt;"Completed",F226&lt;'Summary'!$B$3),'Summary'!$B$3-F226,0)</x:f>
        <x:v>83</x:v>
      </x:c>
      <x:c r="O226" s="88" t="n">
        <x:f>'Summary'!$B$3-L226</x:f>
        <x:v>5</x:v>
      </x:c>
      <x:c r="P226" s="88" t="str">
        <x:f>IF(AND(H226="Completed",G226&lt;&gt;"",F226&lt;&gt;""),G226-F226,"")</x:f>
      </x:c>
      <x:c r="Q226" s="89" t="str">
        <x:f>IF(OR(H226="On Hold",AND(I226="High",N226&gt;7,H226&lt;&gt;"Completed")),"Critical",IF(OR(AND(N226&gt;=1,N226&lt;=7,H226&lt;&gt;"Completed"),AND(O226&gt;7,H226&lt;&gt;"Completed")),"Warning","Normal"))</x:f>
        <x:v>Critical</x:v>
      </x:c>
      <x:c r="R226" s="90" t="str">
        <x:f>IF(AND(I226="High",N226&gt;7,H226&lt;&gt;"Completed"),"High-priority activity overdue by more than 7 days",IF(H226="On Hold","Activity is on hold",IF(AND(O226&gt;7,H226&lt;&gt;"Completed"),"Open activity has a stale update (&gt;7 days)",IF(AND(N226&gt;=1,N226&lt;=7,H226&lt;&gt;"Completed"),"Open activity overdue by 1-7 days",""))))</x:f>
        <x:v>Activity is on hold</x:v>
      </x:c>
    </x:row>
    <x:row r="227">
      <x:c r="A227" s="84" t="str">
        <x:v>ACT-0223</x:v>
      </x:c>
      <x:c r="B227" s="85" t="str">
        <x:v>Engineering</x:v>
      </x:c>
      <x:c r="C227" s="85" t="str">
        <x:v>ENG-A</x:v>
      </x:c>
      <x:c r="D227" s="85" t="str">
        <x:v>Drawing Review</x:v>
      </x:c>
      <x:c r="E227" s="86" t="n">
        <x:v>46201</x:v>
      </x:c>
      <x:c r="F227" s="86" t="n">
        <x:v>46220</x:v>
      </x:c>
      <x:c r="G227" s="86" t="n">
        <x:v>46234</x:v>
      </x:c>
      <x:c r="H227" s="85" t="str">
        <x:v>Completed</x:v>
      </x:c>
      <x:c r="I227" s="85" t="str">
        <x:v>High</x:v>
      </x:c>
      <x:c r="J227" s="87" t="n">
        <x:v>100</x:v>
      </x:c>
      <x:c r="K227" s="85" t="str">
        <x:v>Material Delay</x:v>
      </x:c>
      <x:c r="L227" s="86" t="n">
        <x:v>46231</x:v>
      </x:c>
      <x:c r="M227" s="85" t="str">
        <x:v>Team Lead A</x:v>
      </x:c>
      <x:c r="N227" s="88" t="n">
        <x:f>IF(AND(H227&lt;&gt;"Completed",F227&lt;'Summary'!$B$3),'Summary'!$B$3-F227,0)</x:f>
        <x:v>0</x:v>
      </x:c>
      <x:c r="O227" s="88" t="n">
        <x:f>'Summary'!$B$3-L227</x:f>
        <x:v>35</x:v>
      </x:c>
      <x:c r="P227" s="88" t="n">
        <x:f>IF(AND(H227="Completed",G227&lt;&gt;"",F227&lt;&gt;""),G227-F227,"")</x:f>
        <x:v>14</x:v>
      </x:c>
      <x:c r="Q227" s="89" t="str">
        <x:f>IF(OR(H227="On Hold",AND(I227="High",N227&gt;7,H227&lt;&gt;"Completed")),"Critical",IF(OR(AND(N227&gt;=1,N227&lt;=7,H227&lt;&gt;"Completed"),AND(O227&gt;7,H227&lt;&gt;"Completed")),"Warning","Normal"))</x:f>
        <x:v>Normal</x:v>
      </x:c>
      <x:c r="R227" s="90" t="str">
        <x:f>IF(AND(I227="High",N227&gt;7,H227&lt;&gt;"Completed"),"High-priority activity overdue by more than 7 days",IF(H227="On Hold","Activity is on hold",IF(AND(O227&gt;7,H227&lt;&gt;"Completed"),"Open activity has a stale update (&gt;7 days)",IF(AND(N227&gt;=1,N227&lt;=7,H227&lt;&gt;"Completed"),"Open activity overdue by 1-7 days",""))))</x:f>
      </x:c>
    </x:row>
    <x:row r="228">
      <x:c r="A228" s="84" t="str">
        <x:v>ACT-0224</x:v>
      </x:c>
      <x:c r="B228" s="85" t="str">
        <x:v>Engineering</x:v>
      </x:c>
      <x:c r="C228" s="85" t="str">
        <x:v>ENG-B</x:v>
      </x:c>
      <x:c r="D228" s="85" t="str">
        <x:v>Drawing Review</x:v>
      </x:c>
      <x:c r="E228" s="86" t="n">
        <x:v>46176</x:v>
      </x:c>
      <x:c r="F228" s="86" t="n">
        <x:v>46195</x:v>
      </x:c>
      <x:c r="G228" s="86"/>
      <x:c r="H228" s="85" t="str">
        <x:v>In Progress</x:v>
      </x:c>
      <x:c r="I228" s="85" t="str">
        <x:v>Medium</x:v>
      </x:c>
      <x:c r="J228" s="87" t="n">
        <x:v>55</x:v>
      </x:c>
      <x:c r="K228" s="85" t="str">
        <x:v>Material Delay</x:v>
      </x:c>
      <x:c r="L228" s="86" t="n">
        <x:v>46266</x:v>
      </x:c>
      <x:c r="M228" s="85" t="str">
        <x:v>Team Lead F</x:v>
      </x:c>
      <x:c r="N228" s="88" t="n">
        <x:f>IF(AND(H228&lt;&gt;"Completed",F228&lt;'Summary'!$B$3),'Summary'!$B$3-F228,0)</x:f>
        <x:v>71</x:v>
      </x:c>
      <x:c r="O228" s="88" t="n">
        <x:f>'Summary'!$B$3-L228</x:f>
        <x:v>0</x:v>
      </x:c>
      <x:c r="P228" s="88" t="str">
        <x:f>IF(AND(H228="Completed",G228&lt;&gt;"",F228&lt;&gt;""),G228-F228,"")</x:f>
      </x:c>
      <x:c r="Q228" s="89" t="str">
        <x:f>IF(OR(H228="On Hold",AND(I228="High",N228&gt;7,H228&lt;&gt;"Completed")),"Critical",IF(OR(AND(N228&gt;=1,N228&lt;=7,H228&lt;&gt;"Completed"),AND(O228&gt;7,H228&lt;&gt;"Completed")),"Warning","Normal"))</x:f>
        <x:v>Normal</x:v>
      </x:c>
      <x:c r="R228" s="90" t="str">
        <x:f>IF(AND(I228="High",N228&gt;7,H228&lt;&gt;"Completed"),"High-priority activity overdue by more than 7 days",IF(H228="On Hold","Activity is on hold",IF(AND(O228&gt;7,H228&lt;&gt;"Completed"),"Open activity has a stale update (&gt;7 days)",IF(AND(N228&gt;=1,N228&lt;=7,H228&lt;&gt;"Completed"),"Open activity overdue by 1-7 days",""))))</x:f>
      </x:c>
    </x:row>
    <x:row r="229">
      <x:c r="A229" s="84" t="str">
        <x:v>ACT-0225</x:v>
      </x:c>
      <x:c r="B229" s="85" t="str">
        <x:v>Construction</x:v>
      </x:c>
      <x:c r="C229" s="85" t="str">
        <x:v>CONST-A</x:v>
      </x:c>
      <x:c r="D229" s="85" t="str">
        <x:v>Field Installation</x:v>
      </x:c>
      <x:c r="E229" s="86" t="n">
        <x:v>46186</x:v>
      </x:c>
      <x:c r="F229" s="86" t="n">
        <x:v>46205</x:v>
      </x:c>
      <x:c r="G229" s="86" t="n">
        <x:v>46216</x:v>
      </x:c>
      <x:c r="H229" s="85" t="str">
        <x:v>Completed</x:v>
      </x:c>
      <x:c r="I229" s="85" t="str">
        <x:v>High</x:v>
      </x:c>
      <x:c r="J229" s="87" t="n">
        <x:v>100</x:v>
      </x:c>
      <x:c r="K229" s="85" t="str">
        <x:v>Rework</x:v>
      </x:c>
      <x:c r="L229" s="86" t="n">
        <x:v>46214</x:v>
      </x:c>
      <x:c r="M229" s="85" t="str">
        <x:v>Team Lead C</x:v>
      </x:c>
      <x:c r="N229" s="88" t="n">
        <x:f>IF(AND(H229&lt;&gt;"Completed",F229&lt;'Summary'!$B$3),'Summary'!$B$3-F229,0)</x:f>
        <x:v>0</x:v>
      </x:c>
      <x:c r="O229" s="88" t="n">
        <x:f>'Summary'!$B$3-L229</x:f>
        <x:v>52</x:v>
      </x:c>
      <x:c r="P229" s="88" t="n">
        <x:f>IF(AND(H229="Completed",G229&lt;&gt;"",F229&lt;&gt;""),G229-F229,"")</x:f>
        <x:v>11</x:v>
      </x:c>
      <x:c r="Q229" s="89" t="str">
        <x:f>IF(OR(H229="On Hold",AND(I229="High",N229&gt;7,H229&lt;&gt;"Completed")),"Critical",IF(OR(AND(N229&gt;=1,N229&lt;=7,H229&lt;&gt;"Completed"),AND(O229&gt;7,H229&lt;&gt;"Completed")),"Warning","Normal"))</x:f>
        <x:v>Normal</x:v>
      </x:c>
      <x:c r="R229" s="90" t="str">
        <x:f>IF(AND(I229="High",N229&gt;7,H229&lt;&gt;"Completed"),"High-priority activity overdue by more than 7 days",IF(H229="On Hold","Activity is on hold",IF(AND(O229&gt;7,H229&lt;&gt;"Completed"),"Open activity has a stale update (&gt;7 days)",IF(AND(N229&gt;=1,N229&lt;=7,H229&lt;&gt;"Completed"),"Open activity overdue by 1-7 days",""))))</x:f>
      </x:c>
    </x:row>
    <x:row r="230">
      <x:c r="A230" s="84" t="str">
        <x:v>ACT-0226</x:v>
      </x:c>
      <x:c r="B230" s="85" t="str">
        <x:v>Project Controls</x:v>
      </x:c>
      <x:c r="C230" s="85" t="str">
        <x:v>PC-A</x:v>
      </x:c>
      <x:c r="D230" s="85" t="str">
        <x:v>Schedule Review</x:v>
      </x:c>
      <x:c r="E230" s="86" t="n">
        <x:v>46225</x:v>
      </x:c>
      <x:c r="F230" s="86" t="n">
        <x:v>46242</x:v>
      </x:c>
      <x:c r="G230" s="86" t="n">
        <x:v>46244</x:v>
      </x:c>
      <x:c r="H230" s="85" t="str">
        <x:v>Completed</x:v>
      </x:c>
      <x:c r="I230" s="85" t="str">
        <x:v>Low</x:v>
      </x:c>
      <x:c r="J230" s="87" t="n">
        <x:v>100</x:v>
      </x:c>
      <x:c r="K230" s="85" t="str">
        <x:v>Material Delay</x:v>
      </x:c>
      <x:c r="L230" s="86" t="n">
        <x:v>46242</x:v>
      </x:c>
      <x:c r="M230" s="85" t="str">
        <x:v>Team Lead A</x:v>
      </x:c>
      <x:c r="N230" s="88" t="n">
        <x:f>IF(AND(H230&lt;&gt;"Completed",F230&lt;'Summary'!$B$3),'Summary'!$B$3-F230,0)</x:f>
        <x:v>0</x:v>
      </x:c>
      <x:c r="O230" s="88" t="n">
        <x:f>'Summary'!$B$3-L230</x:f>
        <x:v>24</x:v>
      </x:c>
      <x:c r="P230" s="88" t="n">
        <x:f>IF(AND(H230="Completed",G230&lt;&gt;"",F230&lt;&gt;""),G230-F230,"")</x:f>
        <x:v>2</x:v>
      </x:c>
      <x:c r="Q230" s="89" t="str">
        <x:f>IF(OR(H230="On Hold",AND(I230="High",N230&gt;7,H230&lt;&gt;"Completed")),"Critical",IF(OR(AND(N230&gt;=1,N230&lt;=7,H230&lt;&gt;"Completed"),AND(O230&gt;7,H230&lt;&gt;"Completed")),"Warning","Normal"))</x:f>
        <x:v>Normal</x:v>
      </x:c>
      <x:c r="R230" s="90" t="str">
        <x:f>IF(AND(I230="High",N230&gt;7,H230&lt;&gt;"Completed"),"High-priority activity overdue by more than 7 days",IF(H230="On Hold","Activity is on hold",IF(AND(O230&gt;7,H230&lt;&gt;"Completed"),"Open activity has a stale update (&gt;7 days)",IF(AND(N230&gt;=1,N230&lt;=7,H230&lt;&gt;"Completed"),"Open activity overdue by 1-7 days",""))))</x:f>
      </x:c>
    </x:row>
    <x:row r="231">
      <x:c r="A231" s="84" t="str">
        <x:v>ACT-0227</x:v>
      </x:c>
      <x:c r="B231" s="85" t="str">
        <x:v>Construction</x:v>
      </x:c>
      <x:c r="C231" s="85" t="str">
        <x:v>CONST-A</x:v>
      </x:c>
      <x:c r="D231" s="85" t="str">
        <x:v>Field Installation</x:v>
      </x:c>
      <x:c r="E231" s="86" t="n">
        <x:v>46225</x:v>
      </x:c>
      <x:c r="F231" s="86" t="n">
        <x:v>46240</x:v>
      </x:c>
      <x:c r="G231" s="86" t="n">
        <x:v>46235</x:v>
      </x:c>
      <x:c r="H231" s="85" t="str">
        <x:v>Completed</x:v>
      </x:c>
      <x:c r="I231" s="85" t="str">
        <x:v>Medium</x:v>
      </x:c>
      <x:c r="J231" s="87" t="n">
        <x:v>100</x:v>
      </x:c>
      <x:c r="K231" s="85" t="str">
        <x:v>None</x:v>
      </x:c>
      <x:c r="L231" s="86" t="n">
        <x:v>46234</x:v>
      </x:c>
      <x:c r="M231" s="85" t="str">
        <x:v>Team Lead D</x:v>
      </x:c>
      <x:c r="N231" s="88" t="n">
        <x:f>IF(AND(H231&lt;&gt;"Completed",F231&lt;'Summary'!$B$3),'Summary'!$B$3-F231,0)</x:f>
        <x:v>0</x:v>
      </x:c>
      <x:c r="O231" s="88" t="n">
        <x:f>'Summary'!$B$3-L231</x:f>
        <x:v>32</x:v>
      </x:c>
      <x:c r="P231" s="88" t="n">
        <x:f>IF(AND(H231="Completed",G231&lt;&gt;"",F231&lt;&gt;""),G231-F231,"")</x:f>
        <x:v>-5</x:v>
      </x:c>
      <x:c r="Q231" s="89" t="str">
        <x:f>IF(OR(H231="On Hold",AND(I231="High",N231&gt;7,H231&lt;&gt;"Completed")),"Critical",IF(OR(AND(N231&gt;=1,N231&lt;=7,H231&lt;&gt;"Completed"),AND(O231&gt;7,H231&lt;&gt;"Completed")),"Warning","Normal"))</x:f>
        <x:v>Normal</x:v>
      </x:c>
      <x:c r="R231" s="90" t="str">
        <x:f>IF(AND(I231="High",N231&gt;7,H231&lt;&gt;"Completed"),"High-priority activity overdue by more than 7 days",IF(H231="On Hold","Activity is on hold",IF(AND(O231&gt;7,H231&lt;&gt;"Completed"),"Open activity has a stale update (&gt;7 days)",IF(AND(N231&gt;=1,N231&lt;=7,H231&lt;&gt;"Completed"),"Open activity overdue by 1-7 days",""))))</x:f>
      </x:c>
    </x:row>
    <x:row r="232">
      <x:c r="A232" s="84" t="str">
        <x:v>ACT-0228</x:v>
      </x:c>
      <x:c r="B232" s="85" t="str">
        <x:v>Construction</x:v>
      </x:c>
      <x:c r="C232" s="85" t="str">
        <x:v>CONST-B</x:v>
      </x:c>
      <x:c r="D232" s="85" t="str">
        <x:v>Field Installation</x:v>
      </x:c>
      <x:c r="E232" s="86" t="n">
        <x:v>46241</x:v>
      </x:c>
      <x:c r="F232" s="86" t="n">
        <x:v>46245</x:v>
      </x:c>
      <x:c r="G232" s="86" t="n">
        <x:v>46258</x:v>
      </x:c>
      <x:c r="H232" s="85" t="str">
        <x:v>Completed</x:v>
      </x:c>
      <x:c r="I232" s="85" t="str">
        <x:v>Low</x:v>
      </x:c>
      <x:c r="J232" s="87" t="n">
        <x:v>100</x:v>
      </x:c>
      <x:c r="K232" s="85" t="str">
        <x:v>None</x:v>
      </x:c>
      <x:c r="L232" s="86" t="n">
        <x:v>46255</x:v>
      </x:c>
      <x:c r="M232" s="85" t="str">
        <x:v>Team Lead A</x:v>
      </x:c>
      <x:c r="N232" s="88" t="n">
        <x:f>IF(AND(H232&lt;&gt;"Completed",F232&lt;'Summary'!$B$3),'Summary'!$B$3-F232,0)</x:f>
        <x:v>0</x:v>
      </x:c>
      <x:c r="O232" s="88" t="n">
        <x:f>'Summary'!$B$3-L232</x:f>
        <x:v>11</x:v>
      </x:c>
      <x:c r="P232" s="88" t="n">
        <x:f>IF(AND(H232="Completed",G232&lt;&gt;"",F232&lt;&gt;""),G232-F232,"")</x:f>
        <x:v>13</x:v>
      </x:c>
      <x:c r="Q232" s="89" t="str">
        <x:f>IF(OR(H232="On Hold",AND(I232="High",N232&gt;7,H232&lt;&gt;"Completed")),"Critical",IF(OR(AND(N232&gt;=1,N232&lt;=7,H232&lt;&gt;"Completed"),AND(O232&gt;7,H232&lt;&gt;"Completed")),"Warning","Normal"))</x:f>
        <x:v>Normal</x:v>
      </x:c>
      <x:c r="R232" s="90" t="str">
        <x:f>IF(AND(I232="High",N232&gt;7,H232&lt;&gt;"Completed"),"High-priority activity overdue by more than 7 days",IF(H232="On Hold","Activity is on hold",IF(AND(O232&gt;7,H232&lt;&gt;"Completed"),"Open activity has a stale update (&gt;7 days)",IF(AND(N232&gt;=1,N232&lt;=7,H232&lt;&gt;"Completed"),"Open activity overdue by 1-7 days",""))))</x:f>
      </x:c>
    </x:row>
    <x:row r="233">
      <x:c r="A233" s="84" t="str">
        <x:v>ACT-0229</x:v>
      </x:c>
      <x:c r="B233" s="85" t="str">
        <x:v>Construction</x:v>
      </x:c>
      <x:c r="C233" s="85" t="str">
        <x:v>CONST-B</x:v>
      </x:c>
      <x:c r="D233" s="85" t="str">
        <x:v>Field Installation</x:v>
      </x:c>
      <x:c r="E233" s="86" t="n">
        <x:v>46196</x:v>
      </x:c>
      <x:c r="F233" s="86" t="n">
        <x:v>46209</x:v>
      </x:c>
      <x:c r="G233" s="86" t="n">
        <x:v>46208</x:v>
      </x:c>
      <x:c r="H233" s="85" t="str">
        <x:v>Completed</x:v>
      </x:c>
      <x:c r="I233" s="85" t="str">
        <x:v>High</x:v>
      </x:c>
      <x:c r="J233" s="87" t="n">
        <x:v>100</x:v>
      </x:c>
      <x:c r="K233" s="85" t="str">
        <x:v>Documentation</x:v>
      </x:c>
      <x:c r="L233" s="86" t="n">
        <x:v>46205</x:v>
      </x:c>
      <x:c r="M233" s="85" t="str">
        <x:v>Team Lead C</x:v>
      </x:c>
      <x:c r="N233" s="88" t="n">
        <x:f>IF(AND(H233&lt;&gt;"Completed",F233&lt;'Summary'!$B$3),'Summary'!$B$3-F233,0)</x:f>
        <x:v>0</x:v>
      </x:c>
      <x:c r="O233" s="88" t="n">
        <x:f>'Summary'!$B$3-L233</x:f>
        <x:v>61</x:v>
      </x:c>
      <x:c r="P233" s="88" t="n">
        <x:f>IF(AND(H233="Completed",G233&lt;&gt;"",F233&lt;&gt;""),G233-F233,"")</x:f>
        <x:v>-1</x:v>
      </x:c>
      <x:c r="Q233" s="89" t="str">
        <x:f>IF(OR(H233="On Hold",AND(I233="High",N233&gt;7,H233&lt;&gt;"Completed")),"Critical",IF(OR(AND(N233&gt;=1,N233&lt;=7,H233&lt;&gt;"Completed"),AND(O233&gt;7,H233&lt;&gt;"Completed")),"Warning","Normal"))</x:f>
        <x:v>Normal</x:v>
      </x:c>
      <x:c r="R233" s="90" t="str">
        <x:f>IF(AND(I233="High",N233&gt;7,H233&lt;&gt;"Completed"),"High-priority activity overdue by more than 7 days",IF(H233="On Hold","Activity is on hold",IF(AND(O233&gt;7,H233&lt;&gt;"Completed"),"Open activity has a stale update (&gt;7 days)",IF(AND(N233&gt;=1,N233&lt;=7,H233&lt;&gt;"Completed"),"Open activity overdue by 1-7 days",""))))</x:f>
      </x:c>
    </x:row>
    <x:row r="234">
      <x:c r="A234" s="84" t="str">
        <x:v>ACT-0230</x:v>
      </x:c>
      <x:c r="B234" s="85" t="str">
        <x:v>Engineering</x:v>
      </x:c>
      <x:c r="C234" s="85" t="str">
        <x:v>ENG-A</x:v>
      </x:c>
      <x:c r="D234" s="85" t="str">
        <x:v>Design Update</x:v>
      </x:c>
      <x:c r="E234" s="86" t="n">
        <x:v>46260</x:v>
      </x:c>
      <x:c r="F234" s="86" t="n">
        <x:v>46280</x:v>
      </x:c>
      <x:c r="G234" s="86"/>
      <x:c r="H234" s="85" t="str">
        <x:v>In Progress</x:v>
      </x:c>
      <x:c r="I234" s="85" t="str">
        <x:v>Low</x:v>
      </x:c>
      <x:c r="J234" s="87" t="n">
        <x:v>40</x:v>
      </x:c>
      <x:c r="K234" s="85" t="str">
        <x:v>Access Constraint</x:v>
      </x:c>
      <x:c r="L234" s="86" t="n">
        <x:v>46254</x:v>
      </x:c>
      <x:c r="M234" s="85" t="str">
        <x:v>Team Lead F</x:v>
      </x:c>
      <x:c r="N234" s="88" t="n">
        <x:f>IF(AND(H234&lt;&gt;"Completed",F234&lt;'Summary'!$B$3),'Summary'!$B$3-F234,0)</x:f>
        <x:v>0</x:v>
      </x:c>
      <x:c r="O234" s="88" t="n">
        <x:f>'Summary'!$B$3-L234</x:f>
        <x:v>12</x:v>
      </x:c>
      <x:c r="P234" s="88" t="str">
        <x:f>IF(AND(H234="Completed",G234&lt;&gt;"",F234&lt;&gt;""),G234-F234,"")</x:f>
      </x:c>
      <x:c r="Q234" s="89" t="str">
        <x:f>IF(OR(H234="On Hold",AND(I234="High",N234&gt;7,H234&lt;&gt;"Completed")),"Critical",IF(OR(AND(N234&gt;=1,N234&lt;=7,H234&lt;&gt;"Completed"),AND(O234&gt;7,H234&lt;&gt;"Completed")),"Warning","Normal"))</x:f>
        <x:v>Warning</x:v>
      </x:c>
      <x:c r="R234" s="90" t="str">
        <x:f>IF(AND(I234="High",N234&gt;7,H234&lt;&gt;"Completed"),"High-priority activity overdue by more than 7 days",IF(H234="On Hold","Activity is on hold",IF(AND(O234&gt;7,H234&lt;&gt;"Completed"),"Open activity has a stale update (&gt;7 days)",IF(AND(N234&gt;=1,N234&lt;=7,H234&lt;&gt;"Completed"),"Open activity overdue by 1-7 days",""))))</x:f>
        <x:v>Open activity has a stale update (&gt;7 days)</x:v>
      </x:c>
    </x:row>
    <x:row r="235">
      <x:c r="A235" s="84" t="str">
        <x:v>ACT-0231</x:v>
      </x:c>
      <x:c r="B235" s="85" t="str">
        <x:v>Engineering</x:v>
      </x:c>
      <x:c r="C235" s="85" t="str">
        <x:v>ENG-B</x:v>
      </x:c>
      <x:c r="D235" s="85" t="str">
        <x:v>Drawing Review</x:v>
      </x:c>
      <x:c r="E235" s="86" t="n">
        <x:v>46186</x:v>
      </x:c>
      <x:c r="F235" s="86" t="n">
        <x:v>46202</x:v>
      </x:c>
      <x:c r="G235" s="86" t="n">
        <x:v>46216</x:v>
      </x:c>
      <x:c r="H235" s="85" t="str">
        <x:v>Completed</x:v>
      </x:c>
      <x:c r="I235" s="85" t="str">
        <x:v>High</x:v>
      </x:c>
      <x:c r="J235" s="87" t="n">
        <x:v>100</x:v>
      </x:c>
      <x:c r="K235" s="85" t="str">
        <x:v>Documentation</x:v>
      </x:c>
      <x:c r="L235" s="86" t="n">
        <x:v>46212</x:v>
      </x:c>
      <x:c r="M235" s="85" t="str">
        <x:v>Team Lead D</x:v>
      </x:c>
      <x:c r="N235" s="88" t="n">
        <x:f>IF(AND(H235&lt;&gt;"Completed",F235&lt;'Summary'!$B$3),'Summary'!$B$3-F235,0)</x:f>
        <x:v>0</x:v>
      </x:c>
      <x:c r="O235" s="88" t="n">
        <x:f>'Summary'!$B$3-L235</x:f>
        <x:v>54</x:v>
      </x:c>
      <x:c r="P235" s="88" t="n">
        <x:f>IF(AND(H235="Completed",G235&lt;&gt;"",F235&lt;&gt;""),G235-F235,"")</x:f>
        <x:v>14</x:v>
      </x:c>
      <x:c r="Q235" s="89" t="str">
        <x:f>IF(OR(H235="On Hold",AND(I235="High",N235&gt;7,H235&lt;&gt;"Completed")),"Critical",IF(OR(AND(N235&gt;=1,N235&lt;=7,H235&lt;&gt;"Completed"),AND(O235&gt;7,H235&lt;&gt;"Completed")),"Warning","Normal"))</x:f>
        <x:v>Normal</x:v>
      </x:c>
      <x:c r="R235" s="90" t="str">
        <x:f>IF(AND(I235="High",N235&gt;7,H235&lt;&gt;"Completed"),"High-priority activity overdue by more than 7 days",IF(H235="On Hold","Activity is on hold",IF(AND(O235&gt;7,H235&lt;&gt;"Completed"),"Open activity has a stale update (&gt;7 days)",IF(AND(N235&gt;=1,N235&lt;=7,H235&lt;&gt;"Completed"),"Open activity overdue by 1-7 days",""))))</x:f>
      </x:c>
    </x:row>
    <x:row r="236">
      <x:c r="A236" s="84" t="str">
        <x:v>ACT-0232</x:v>
      </x:c>
      <x:c r="B236" s="85" t="str">
        <x:v>Procurement</x:v>
      </x:c>
      <x:c r="C236" s="85" t="str">
        <x:v>PROC-A</x:v>
      </x:c>
      <x:c r="D236" s="85" t="str">
        <x:v>Material Delivery</x:v>
      </x:c>
      <x:c r="E236" s="86" t="n">
        <x:v>46255</x:v>
      </x:c>
      <x:c r="F236" s="86" t="n">
        <x:v>46266</x:v>
      </x:c>
      <x:c r="G236" s="86"/>
      <x:c r="H236" s="85" t="str">
        <x:v>Not Started</x:v>
      </x:c>
      <x:c r="I236" s="85" t="str">
        <x:v>Medium</x:v>
      </x:c>
      <x:c r="J236" s="87" t="n">
        <x:v>0</x:v>
      </x:c>
      <x:c r="K236" s="85" t="str">
        <x:v>Material Delay</x:v>
      </x:c>
      <x:c r="L236" s="86" t="n">
        <x:v>46252</x:v>
      </x:c>
      <x:c r="M236" s="85" t="str">
        <x:v>Team Lead D</x:v>
      </x:c>
      <x:c r="N236" s="88" t="n">
        <x:f>IF(AND(H236&lt;&gt;"Completed",F236&lt;'Summary'!$B$3),'Summary'!$B$3-F236,0)</x:f>
        <x:v>0</x:v>
      </x:c>
      <x:c r="O236" s="88" t="n">
        <x:f>'Summary'!$B$3-L236</x:f>
        <x:v>14</x:v>
      </x:c>
      <x:c r="P236" s="88" t="str">
        <x:f>IF(AND(H236="Completed",G236&lt;&gt;"",F236&lt;&gt;""),G236-F236,"")</x:f>
      </x:c>
      <x:c r="Q236" s="89" t="str">
        <x:f>IF(OR(H236="On Hold",AND(I236="High",N236&gt;7,H236&lt;&gt;"Completed")),"Critical",IF(OR(AND(N236&gt;=1,N236&lt;=7,H236&lt;&gt;"Completed"),AND(O236&gt;7,H236&lt;&gt;"Completed")),"Warning","Normal"))</x:f>
        <x:v>Warning</x:v>
      </x:c>
      <x:c r="R236" s="90" t="str">
        <x:f>IF(AND(I236="High",N236&gt;7,H236&lt;&gt;"Completed"),"High-priority activity overdue by more than 7 days",IF(H236="On Hold","Activity is on hold",IF(AND(O236&gt;7,H236&lt;&gt;"Completed"),"Open activity has a stale update (&gt;7 days)",IF(AND(N236&gt;=1,N236&lt;=7,H236&lt;&gt;"Completed"),"Open activity overdue by 1-7 days",""))))</x:f>
        <x:v>Open activity has a stale update (&gt;7 days)</x:v>
      </x:c>
    </x:row>
    <x:row r="237">
      <x:c r="A237" s="84" t="str">
        <x:v>ACT-0233</x:v>
      </x:c>
      <x:c r="B237" s="85" t="str">
        <x:v>QA/QC</x:v>
      </x:c>
      <x:c r="C237" s="85" t="str">
        <x:v>QA-B</x:v>
      </x:c>
      <x:c r="D237" s="85" t="str">
        <x:v>Test Package</x:v>
      </x:c>
      <x:c r="E237" s="86" t="n">
        <x:v>46253</x:v>
      </x:c>
      <x:c r="F237" s="86" t="n">
        <x:v>46265</x:v>
      </x:c>
      <x:c r="G237" s="86"/>
      <x:c r="H237" s="85" t="str">
        <x:v>In Progress</x:v>
      </x:c>
      <x:c r="I237" s="85" t="str">
        <x:v>Medium</x:v>
      </x:c>
      <x:c r="J237" s="87" t="n">
        <x:v>35</x:v>
      </x:c>
      <x:c r="K237" s="85" t="str">
        <x:v>None</x:v>
      </x:c>
      <x:c r="L237" s="86" t="n">
        <x:v>46262</x:v>
      </x:c>
      <x:c r="M237" s="85" t="str">
        <x:v>Team Lead F</x:v>
      </x:c>
      <x:c r="N237" s="88" t="n">
        <x:f>IF(AND(H237&lt;&gt;"Completed",F237&lt;'Summary'!$B$3),'Summary'!$B$3-F237,0)</x:f>
        <x:v>1</x:v>
      </x:c>
      <x:c r="O237" s="88" t="n">
        <x:f>'Summary'!$B$3-L237</x:f>
        <x:v>4</x:v>
      </x:c>
      <x:c r="P237" s="88" t="str">
        <x:f>IF(AND(H237="Completed",G237&lt;&gt;"",F237&lt;&gt;""),G237-F237,"")</x:f>
      </x:c>
      <x:c r="Q237" s="89" t="str">
        <x:f>IF(OR(H237="On Hold",AND(I237="High",N237&gt;7,H237&lt;&gt;"Completed")),"Critical",IF(OR(AND(N237&gt;=1,N237&lt;=7,H237&lt;&gt;"Completed"),AND(O237&gt;7,H237&lt;&gt;"Completed")),"Warning","Normal"))</x:f>
        <x:v>Warning</x:v>
      </x:c>
      <x:c r="R237" s="90" t="str">
        <x:f>IF(AND(I237="High",N237&gt;7,H237&lt;&gt;"Completed"),"High-priority activity overdue by more than 7 days",IF(H237="On Hold","Activity is on hold",IF(AND(O237&gt;7,H237&lt;&gt;"Completed"),"Open activity has a stale update (&gt;7 days)",IF(AND(N237&gt;=1,N237&lt;=7,H237&lt;&gt;"Completed"),"Open activity overdue by 1-7 days",""))))</x:f>
        <x:v>Open activity overdue by 1-7 days</x:v>
      </x:c>
    </x:row>
    <x:row r="238">
      <x:c r="A238" s="84" t="str">
        <x:v>ACT-0234</x:v>
      </x:c>
      <x:c r="B238" s="85" t="str">
        <x:v>Project Controls</x:v>
      </x:c>
      <x:c r="C238" s="85" t="str">
        <x:v>PC-A</x:v>
      </x:c>
      <x:c r="D238" s="85" t="str">
        <x:v>KPI Update</x:v>
      </x:c>
      <x:c r="E238" s="86" t="n">
        <x:v>46223</x:v>
      </x:c>
      <x:c r="F238" s="86" t="n">
        <x:v>46236</x:v>
      </x:c>
      <x:c r="G238" s="86" t="n">
        <x:v>46240</x:v>
      </x:c>
      <x:c r="H238" s="85" t="str">
        <x:v>Completed</x:v>
      </x:c>
      <x:c r="I238" s="85" t="str">
        <x:v>High</x:v>
      </x:c>
      <x:c r="J238" s="87" t="n">
        <x:v>100</x:v>
      </x:c>
      <x:c r="K238" s="85" t="str">
        <x:v>None</x:v>
      </x:c>
      <x:c r="L238" s="86" t="n">
        <x:v>46237</x:v>
      </x:c>
      <x:c r="M238" s="85" t="str">
        <x:v>Team Lead C</x:v>
      </x:c>
      <x:c r="N238" s="88" t="n">
        <x:f>IF(AND(H238&lt;&gt;"Completed",F238&lt;'Summary'!$B$3),'Summary'!$B$3-F238,0)</x:f>
        <x:v>0</x:v>
      </x:c>
      <x:c r="O238" s="88" t="n">
        <x:f>'Summary'!$B$3-L238</x:f>
        <x:v>29</x:v>
      </x:c>
      <x:c r="P238" s="88" t="n">
        <x:f>IF(AND(H238="Completed",G238&lt;&gt;"",F238&lt;&gt;""),G238-F238,"")</x:f>
        <x:v>4</x:v>
      </x:c>
      <x:c r="Q238" s="89" t="str">
        <x:f>IF(OR(H238="On Hold",AND(I238="High",N238&gt;7,H238&lt;&gt;"Completed")),"Critical",IF(OR(AND(N238&gt;=1,N238&lt;=7,H238&lt;&gt;"Completed"),AND(O238&gt;7,H238&lt;&gt;"Completed")),"Warning","Normal"))</x:f>
        <x:v>Normal</x:v>
      </x:c>
      <x:c r="R238" s="90" t="str">
        <x:f>IF(AND(I238="High",N238&gt;7,H238&lt;&gt;"Completed"),"High-priority activity overdue by more than 7 days",IF(H238="On Hold","Activity is on hold",IF(AND(O238&gt;7,H238&lt;&gt;"Completed"),"Open activity has a stale update (&gt;7 days)",IF(AND(N238&gt;=1,N238&lt;=7,H238&lt;&gt;"Completed"),"Open activity overdue by 1-7 days",""))))</x:f>
      </x:c>
    </x:row>
    <x:row r="239">
      <x:c r="A239" s="84" t="str">
        <x:v>ACT-0235</x:v>
      </x:c>
      <x:c r="B239" s="85" t="str">
        <x:v>Engineering</x:v>
      </x:c>
      <x:c r="C239" s="85" t="str">
        <x:v>ENG-A</x:v>
      </x:c>
      <x:c r="D239" s="85" t="str">
        <x:v>RFI Closure</x:v>
      </x:c>
      <x:c r="E239" s="86" t="n">
        <x:v>46229</x:v>
      </x:c>
      <x:c r="F239" s="86" t="n">
        <x:v>46246</x:v>
      </x:c>
      <x:c r="G239" s="86" t="n">
        <x:v>46244</x:v>
      </x:c>
      <x:c r="H239" s="85" t="str">
        <x:v>Completed</x:v>
      </x:c>
      <x:c r="I239" s="85" t="str">
        <x:v>Medium</x:v>
      </x:c>
      <x:c r="J239" s="87" t="n">
        <x:v>100</x:v>
      </x:c>
      <x:c r="K239" s="85" t="str">
        <x:v>None</x:v>
      </x:c>
      <x:c r="L239" s="86" t="n">
        <x:v>46244</x:v>
      </x:c>
      <x:c r="M239" s="85" t="str">
        <x:v>Team Lead E</x:v>
      </x:c>
      <x:c r="N239" s="88" t="n">
        <x:f>IF(AND(H239&lt;&gt;"Completed",F239&lt;'Summary'!$B$3),'Summary'!$B$3-F239,0)</x:f>
        <x:v>0</x:v>
      </x:c>
      <x:c r="O239" s="88" t="n">
        <x:f>'Summary'!$B$3-L239</x:f>
        <x:v>22</x:v>
      </x:c>
      <x:c r="P239" s="88" t="n">
        <x:f>IF(AND(H239="Completed",G239&lt;&gt;"",F239&lt;&gt;""),G239-F239,"")</x:f>
        <x:v>-2</x:v>
      </x:c>
      <x:c r="Q239" s="89" t="str">
        <x:f>IF(OR(H239="On Hold",AND(I239="High",N239&gt;7,H239&lt;&gt;"Completed")),"Critical",IF(OR(AND(N239&gt;=1,N239&lt;=7,H239&lt;&gt;"Completed"),AND(O239&gt;7,H239&lt;&gt;"Completed")),"Warning","Normal"))</x:f>
        <x:v>Normal</x:v>
      </x:c>
      <x:c r="R239" s="90" t="str">
        <x:f>IF(AND(I239="High",N239&gt;7,H239&lt;&gt;"Completed"),"High-priority activity overdue by more than 7 days",IF(H239="On Hold","Activity is on hold",IF(AND(O239&gt;7,H239&lt;&gt;"Completed"),"Open activity has a stale update (&gt;7 days)",IF(AND(N239&gt;=1,N239&lt;=7,H239&lt;&gt;"Completed"),"Open activity overdue by 1-7 days",""))))</x:f>
      </x:c>
    </x:row>
    <x:row r="240">
      <x:c r="A240" s="84" t="str">
        <x:v>ACT-0236</x:v>
      </x:c>
      <x:c r="B240" s="85" t="str">
        <x:v>Engineering</x:v>
      </x:c>
      <x:c r="C240" s="85" t="str">
        <x:v>ENG-B</x:v>
      </x:c>
      <x:c r="D240" s="85" t="str">
        <x:v>Design Update</x:v>
      </x:c>
      <x:c r="E240" s="86" t="n">
        <x:v>46175</x:v>
      </x:c>
      <x:c r="F240" s="86" t="n">
        <x:v>46187</x:v>
      </x:c>
      <x:c r="G240" s="86" t="n">
        <x:v>46199</x:v>
      </x:c>
      <x:c r="H240" s="85" t="str">
        <x:v>Completed</x:v>
      </x:c>
      <x:c r="I240" s="85" t="str">
        <x:v>Low</x:v>
      </x:c>
      <x:c r="J240" s="87" t="n">
        <x:v>100</x:v>
      </x:c>
      <x:c r="K240" s="85" t="str">
        <x:v>Approval Delay</x:v>
      </x:c>
      <x:c r="L240" s="86" t="n">
        <x:v>46198</x:v>
      </x:c>
      <x:c r="M240" s="85" t="str">
        <x:v>Team Lead B</x:v>
      </x:c>
      <x:c r="N240" s="88" t="n">
        <x:f>IF(AND(H240&lt;&gt;"Completed",F240&lt;'Summary'!$B$3),'Summary'!$B$3-F240,0)</x:f>
        <x:v>0</x:v>
      </x:c>
      <x:c r="O240" s="88" t="n">
        <x:f>'Summary'!$B$3-L240</x:f>
        <x:v>68</x:v>
      </x:c>
      <x:c r="P240" s="88" t="n">
        <x:f>IF(AND(H240="Completed",G240&lt;&gt;"",F240&lt;&gt;""),G240-F240,"")</x:f>
        <x:v>12</x:v>
      </x:c>
      <x:c r="Q240" s="89" t="str">
        <x:f>IF(OR(H240="On Hold",AND(I240="High",N240&gt;7,H240&lt;&gt;"Completed")),"Critical",IF(OR(AND(N240&gt;=1,N240&lt;=7,H240&lt;&gt;"Completed"),AND(O240&gt;7,H240&lt;&gt;"Completed")),"Warning","Normal"))</x:f>
        <x:v>Normal</x:v>
      </x:c>
      <x:c r="R240" s="90" t="str">
        <x:f>IF(AND(I240="High",N240&gt;7,H240&lt;&gt;"Completed"),"High-priority activity overdue by more than 7 days",IF(H240="On Hold","Activity is on hold",IF(AND(O240&gt;7,H240&lt;&gt;"Completed"),"Open activity has a stale update (&gt;7 days)",IF(AND(N240&gt;=1,N240&lt;=7,H240&lt;&gt;"Completed"),"Open activity overdue by 1-7 days",""))))</x:f>
      </x:c>
    </x:row>
    <x:row r="241">
      <x:c r="A241" s="84" t="str">
        <x:v>ACT-0237</x:v>
      </x:c>
      <x:c r="B241" s="85" t="str">
        <x:v>Construction</x:v>
      </x:c>
      <x:c r="C241" s="85" t="str">
        <x:v>CONST-A</x:v>
      </x:c>
      <x:c r="D241" s="85" t="str">
        <x:v>Punch Clearance</x:v>
      </x:c>
      <x:c r="E241" s="86" t="n">
        <x:v>46208</x:v>
      </x:c>
      <x:c r="F241" s="86" t="n">
        <x:v>46220</x:v>
      </x:c>
      <x:c r="G241" s="86" t="n">
        <x:v>46220</x:v>
      </x:c>
      <x:c r="H241" s="85" t="str">
        <x:v>Completed</x:v>
      </x:c>
      <x:c r="I241" s="85" t="str">
        <x:v>High</x:v>
      </x:c>
      <x:c r="J241" s="87" t="n">
        <x:v>100</x:v>
      </x:c>
      <x:c r="K241" s="85" t="str">
        <x:v>None</x:v>
      </x:c>
      <x:c r="L241" s="86" t="n">
        <x:v>46217</x:v>
      </x:c>
      <x:c r="M241" s="85" t="str">
        <x:v>Team Lead C</x:v>
      </x:c>
      <x:c r="N241" s="88" t="n">
        <x:f>IF(AND(H241&lt;&gt;"Completed",F241&lt;'Summary'!$B$3),'Summary'!$B$3-F241,0)</x:f>
        <x:v>0</x:v>
      </x:c>
      <x:c r="O241" s="88" t="n">
        <x:f>'Summary'!$B$3-L241</x:f>
        <x:v>49</x:v>
      </x:c>
      <x:c r="P241" s="88" t="n">
        <x:f>IF(AND(H241="Completed",G241&lt;&gt;"",F241&lt;&gt;""),G241-F241,"")</x:f>
        <x:v>0</x:v>
      </x:c>
      <x:c r="Q241" s="89" t="str">
        <x:f>IF(OR(H241="On Hold",AND(I241="High",N241&gt;7,H241&lt;&gt;"Completed")),"Critical",IF(OR(AND(N241&gt;=1,N241&lt;=7,H241&lt;&gt;"Completed"),AND(O241&gt;7,H241&lt;&gt;"Completed")),"Warning","Normal"))</x:f>
        <x:v>Normal</x:v>
      </x:c>
      <x:c r="R241" s="90" t="str">
        <x:f>IF(AND(I241="High",N241&gt;7,H241&lt;&gt;"Completed"),"High-priority activity overdue by more than 7 days",IF(H241="On Hold","Activity is on hold",IF(AND(O241&gt;7,H241&lt;&gt;"Completed"),"Open activity has a stale update (&gt;7 days)",IF(AND(N241&gt;=1,N241&lt;=7,H241&lt;&gt;"Completed"),"Open activity overdue by 1-7 days",""))))</x:f>
      </x:c>
    </x:row>
    <x:row r="242">
      <x:c r="A242" s="84" t="str">
        <x:v>ACT-0238</x:v>
      </x:c>
      <x:c r="B242" s="85" t="str">
        <x:v>Construction</x:v>
      </x:c>
      <x:c r="C242" s="85" t="str">
        <x:v>CONST-A</x:v>
      </x:c>
      <x:c r="D242" s="85" t="str">
        <x:v>Progress Update</x:v>
      </x:c>
      <x:c r="E242" s="86" t="n">
        <x:v>46206</x:v>
      </x:c>
      <x:c r="F242" s="86" t="n">
        <x:v>46216</x:v>
      </x:c>
      <x:c r="G242" s="86"/>
      <x:c r="H242" s="85" t="str">
        <x:v>In Progress</x:v>
      </x:c>
      <x:c r="I242" s="85" t="str">
        <x:v>Medium</x:v>
      </x:c>
      <x:c r="J242" s="87" t="n">
        <x:v>80</x:v>
      </x:c>
      <x:c r="K242" s="85" t="str">
        <x:v>Material Delay</x:v>
      </x:c>
      <x:c r="L242" s="86" t="n">
        <x:v>46263</x:v>
      </x:c>
      <x:c r="M242" s="85" t="str">
        <x:v>Team Lead B</x:v>
      </x:c>
      <x:c r="N242" s="88" t="n">
        <x:f>IF(AND(H242&lt;&gt;"Completed",F242&lt;'Summary'!$B$3),'Summary'!$B$3-F242,0)</x:f>
        <x:v>50</x:v>
      </x:c>
      <x:c r="O242" s="88" t="n">
        <x:f>'Summary'!$B$3-L242</x:f>
        <x:v>3</x:v>
      </x:c>
      <x:c r="P242" s="88" t="str">
        <x:f>IF(AND(H242="Completed",G242&lt;&gt;"",F242&lt;&gt;""),G242-F242,"")</x:f>
      </x:c>
      <x:c r="Q242" s="89" t="str">
        <x:f>IF(OR(H242="On Hold",AND(I242="High",N242&gt;7,H242&lt;&gt;"Completed")),"Critical",IF(OR(AND(N242&gt;=1,N242&lt;=7,H242&lt;&gt;"Completed"),AND(O242&gt;7,H242&lt;&gt;"Completed")),"Warning","Normal"))</x:f>
        <x:v>Normal</x:v>
      </x:c>
      <x:c r="R242" s="90" t="str">
        <x:f>IF(AND(I242="High",N242&gt;7,H242&lt;&gt;"Completed"),"High-priority activity overdue by more than 7 days",IF(H242="On Hold","Activity is on hold",IF(AND(O242&gt;7,H242&lt;&gt;"Completed"),"Open activity has a stale update (&gt;7 days)",IF(AND(N242&gt;=1,N242&lt;=7,H242&lt;&gt;"Completed"),"Open activity overdue by 1-7 days",""))))</x:f>
      </x:c>
    </x:row>
    <x:row r="243">
      <x:c r="A243" s="84" t="str">
        <x:v>ACT-0239</x:v>
      </x:c>
      <x:c r="B243" s="85" t="str">
        <x:v>QA/QC</x:v>
      </x:c>
      <x:c r="C243" s="85" t="str">
        <x:v>QA-B</x:v>
      </x:c>
      <x:c r="D243" s="85" t="str">
        <x:v>Punch Clearance</x:v>
      </x:c>
      <x:c r="E243" s="86" t="n">
        <x:v>46253</x:v>
      </x:c>
      <x:c r="F243" s="86" t="n">
        <x:v>46268</x:v>
      </x:c>
      <x:c r="G243" s="86"/>
      <x:c r="H243" s="85" t="str">
        <x:v>Not Started</x:v>
      </x:c>
      <x:c r="I243" s="85" t="str">
        <x:v>Medium</x:v>
      </x:c>
      <x:c r="J243" s="87" t="n">
        <x:v>0</x:v>
      </x:c>
      <x:c r="K243" s="85" t="str">
        <x:v>Documentation</x:v>
      </x:c>
      <x:c r="L243" s="86" t="n">
        <x:v>46250</x:v>
      </x:c>
      <x:c r="M243" s="85" t="str">
        <x:v>Team Lead F</x:v>
      </x:c>
      <x:c r="N243" s="88" t="n">
        <x:f>IF(AND(H243&lt;&gt;"Completed",F243&lt;'Summary'!$B$3),'Summary'!$B$3-F243,0)</x:f>
        <x:v>0</x:v>
      </x:c>
      <x:c r="O243" s="88" t="n">
        <x:f>'Summary'!$B$3-L243</x:f>
        <x:v>16</x:v>
      </x:c>
      <x:c r="P243" s="88" t="str">
        <x:f>IF(AND(H243="Completed",G243&lt;&gt;"",F243&lt;&gt;""),G243-F243,"")</x:f>
      </x:c>
      <x:c r="Q243" s="89" t="str">
        <x:f>IF(OR(H243="On Hold",AND(I243="High",N243&gt;7,H243&lt;&gt;"Completed")),"Critical",IF(OR(AND(N243&gt;=1,N243&lt;=7,H243&lt;&gt;"Completed"),AND(O243&gt;7,H243&lt;&gt;"Completed")),"Warning","Normal"))</x:f>
        <x:v>Warning</x:v>
      </x:c>
      <x:c r="R243" s="90" t="str">
        <x:f>IF(AND(I243="High",N243&gt;7,H243&lt;&gt;"Completed"),"High-priority activity overdue by more than 7 days",IF(H243="On Hold","Activity is on hold",IF(AND(O243&gt;7,H243&lt;&gt;"Completed"),"Open activity has a stale update (&gt;7 days)",IF(AND(N243&gt;=1,N243&lt;=7,H243&lt;&gt;"Completed"),"Open activity overdue by 1-7 days",""))))</x:f>
        <x:v>Open activity has a stale update (&gt;7 days)</x:v>
      </x:c>
    </x:row>
    <x:row r="244">
      <x:c r="A244" s="84" t="str">
        <x:v>ACT-0240</x:v>
      </x:c>
      <x:c r="B244" s="85" t="str">
        <x:v>Procurement</x:v>
      </x:c>
      <x:c r="C244" s="85" t="str">
        <x:v>PROC-A</x:v>
      </x:c>
      <x:c r="D244" s="85" t="str">
        <x:v>Vendor Follow-up</x:v>
      </x:c>
      <x:c r="E244" s="86" t="n">
        <x:v>46215</x:v>
      </x:c>
      <x:c r="F244" s="86" t="n">
        <x:v>46237</x:v>
      </x:c>
      <x:c r="G244" s="86"/>
      <x:c r="H244" s="85" t="str">
        <x:v>On Hold</x:v>
      </x:c>
      <x:c r="I244" s="85" t="str">
        <x:v>High</x:v>
      </x:c>
      <x:c r="J244" s="87" t="n">
        <x:v>30</x:v>
      </x:c>
      <x:c r="K244" s="85" t="str">
        <x:v>Access Constraint</x:v>
      </x:c>
      <x:c r="L244" s="86" t="n">
        <x:v>46256</x:v>
      </x:c>
      <x:c r="M244" s="85" t="str">
        <x:v>Team Lead C</x:v>
      </x:c>
      <x:c r="N244" s="88" t="n">
        <x:f>IF(AND(H244&lt;&gt;"Completed",F244&lt;'Summary'!$B$3),'Summary'!$B$3-F244,0)</x:f>
        <x:v>29</x:v>
      </x:c>
      <x:c r="O244" s="88" t="n">
        <x:f>'Summary'!$B$3-L244</x:f>
        <x:v>10</x:v>
      </x:c>
      <x:c r="P244" s="88" t="str">
        <x:f>IF(AND(H244="Completed",G244&lt;&gt;"",F244&lt;&gt;""),G244-F244,"")</x:f>
      </x:c>
      <x:c r="Q244" s="89" t="str">
        <x:f>IF(OR(H244="On Hold",AND(I244="High",N244&gt;7,H244&lt;&gt;"Completed")),"Critical",IF(OR(AND(N244&gt;=1,N244&lt;=7,H244&lt;&gt;"Completed"),AND(O244&gt;7,H244&lt;&gt;"Completed")),"Warning","Normal"))</x:f>
        <x:v>Critical</x:v>
      </x:c>
      <x:c r="R244" s="90" t="str">
        <x:f>IF(AND(I244="High",N244&gt;7,H244&lt;&gt;"Completed"),"High-priority activity overdue by more than 7 days",IF(H244="On Hold","Activity is on hold",IF(AND(O244&gt;7,H244&lt;&gt;"Completed"),"Open activity has a stale update (&gt;7 days)",IF(AND(N244&gt;=1,N244&lt;=7,H244&lt;&gt;"Completed"),"Open activity overdue by 1-7 days",""))))</x:f>
        <x:v>High-priority activity overdue by more than 7 days</x:v>
      </x:c>
    </x:row>
    <x:row r="245">
      <x:c r="A245" s="84" t="str">
        <x:v>ACT-0241</x:v>
      </x:c>
      <x:c r="B245" s="85" t="str">
        <x:v>QA/QC</x:v>
      </x:c>
      <x:c r="C245" s="85" t="str">
        <x:v>QA-B</x:v>
      </x:c>
      <x:c r="D245" s="85" t="str">
        <x:v>Inspection Request</x:v>
      </x:c>
      <x:c r="E245" s="86" t="n">
        <x:v>46215</x:v>
      </x:c>
      <x:c r="F245" s="86" t="n">
        <x:v>46230</x:v>
      </x:c>
      <x:c r="G245" s="86" t="n">
        <x:v>46236</x:v>
      </x:c>
      <x:c r="H245" s="85" t="str">
        <x:v>Completed</x:v>
      </x:c>
      <x:c r="I245" s="85" t="str">
        <x:v>Low</x:v>
      </x:c>
      <x:c r="J245" s="87" t="n">
        <x:v>100</x:v>
      </x:c>
      <x:c r="K245" s="85" t="str">
        <x:v>Documentation</x:v>
      </x:c>
      <x:c r="L245" s="86" t="n">
        <x:v>46236</x:v>
      </x:c>
      <x:c r="M245" s="85" t="str">
        <x:v>Team Lead B</x:v>
      </x:c>
      <x:c r="N245" s="88" t="n">
        <x:f>IF(AND(H245&lt;&gt;"Completed",F245&lt;'Summary'!$B$3),'Summary'!$B$3-F245,0)</x:f>
        <x:v>0</x:v>
      </x:c>
      <x:c r="O245" s="88" t="n">
        <x:f>'Summary'!$B$3-L245</x:f>
        <x:v>30</x:v>
      </x:c>
      <x:c r="P245" s="88" t="n">
        <x:f>IF(AND(H245="Completed",G245&lt;&gt;"",F245&lt;&gt;""),G245-F245,"")</x:f>
        <x:v>6</x:v>
      </x:c>
      <x:c r="Q245" s="89" t="str">
        <x:f>IF(OR(H245="On Hold",AND(I245="High",N245&gt;7,H245&lt;&gt;"Completed")),"Critical",IF(OR(AND(N245&gt;=1,N245&lt;=7,H245&lt;&gt;"Completed"),AND(O245&gt;7,H245&lt;&gt;"Completed")),"Warning","Normal"))</x:f>
        <x:v>Normal</x:v>
      </x:c>
      <x:c r="R245" s="90" t="str">
        <x:f>IF(AND(I245="High",N245&gt;7,H245&lt;&gt;"Completed"),"High-priority activity overdue by more than 7 days",IF(H245="On Hold","Activity is on hold",IF(AND(O245&gt;7,H245&lt;&gt;"Completed"),"Open activity has a stale update (&gt;7 days)",IF(AND(N245&gt;=1,N245&lt;=7,H245&lt;&gt;"Completed"),"Open activity overdue by 1-7 days",""))))</x:f>
      </x:c>
    </x:row>
    <x:row r="246">
      <x:c r="A246" s="84" t="str">
        <x:v>ACT-0242</x:v>
      </x:c>
      <x:c r="B246" s="85" t="str">
        <x:v>Construction</x:v>
      </x:c>
      <x:c r="C246" s="85" t="str">
        <x:v>CONST-A</x:v>
      </x:c>
      <x:c r="D246" s="85" t="str">
        <x:v>Field Installation</x:v>
      </x:c>
      <x:c r="E246" s="86" t="n">
        <x:v>46233</x:v>
      </x:c>
      <x:c r="F246" s="86" t="n">
        <x:v>46258</x:v>
      </x:c>
      <x:c r="G246" s="86" t="n">
        <x:v>46255</x:v>
      </x:c>
      <x:c r="H246" s="85" t="str">
        <x:v>Completed</x:v>
      </x:c>
      <x:c r="I246" s="85" t="str">
        <x:v>Low</x:v>
      </x:c>
      <x:c r="J246" s="87" t="n">
        <x:v>100</x:v>
      </x:c>
      <x:c r="K246" s="85" t="str">
        <x:v>Material Delay</x:v>
      </x:c>
      <x:c r="L246" s="86" t="n">
        <x:v>46252</x:v>
      </x:c>
      <x:c r="M246" s="85" t="str">
        <x:v>Team Lead B</x:v>
      </x:c>
      <x:c r="N246" s="88" t="n">
        <x:f>IF(AND(H246&lt;&gt;"Completed",F246&lt;'Summary'!$B$3),'Summary'!$B$3-F246,0)</x:f>
        <x:v>0</x:v>
      </x:c>
      <x:c r="O246" s="88" t="n">
        <x:f>'Summary'!$B$3-L246</x:f>
        <x:v>14</x:v>
      </x:c>
      <x:c r="P246" s="88" t="n">
        <x:f>IF(AND(H246="Completed",G246&lt;&gt;"",F246&lt;&gt;""),G246-F246,"")</x:f>
        <x:v>-3</x:v>
      </x:c>
      <x:c r="Q246" s="89" t="str">
        <x:f>IF(OR(H246="On Hold",AND(I246="High",N246&gt;7,H246&lt;&gt;"Completed")),"Critical",IF(OR(AND(N246&gt;=1,N246&lt;=7,H246&lt;&gt;"Completed"),AND(O246&gt;7,H246&lt;&gt;"Completed")),"Warning","Normal"))</x:f>
        <x:v>Normal</x:v>
      </x:c>
      <x:c r="R246" s="90" t="str">
        <x:f>IF(AND(I246="High",N246&gt;7,H246&lt;&gt;"Completed"),"High-priority activity overdue by more than 7 days",IF(H246="On Hold","Activity is on hold",IF(AND(O246&gt;7,H246&lt;&gt;"Completed"),"Open activity has a stale update (&gt;7 days)",IF(AND(N246&gt;=1,N246&lt;=7,H246&lt;&gt;"Completed"),"Open activity overdue by 1-7 days",""))))</x:f>
      </x:c>
    </x:row>
    <x:row r="247">
      <x:c r="A247" s="84" t="str">
        <x:v>ACT-0243</x:v>
      </x:c>
      <x:c r="B247" s="85" t="str">
        <x:v>Construction</x:v>
      </x:c>
      <x:c r="C247" s="85" t="str">
        <x:v>CONST-A</x:v>
      </x:c>
      <x:c r="D247" s="85" t="str">
        <x:v>Progress Update</x:v>
      </x:c>
      <x:c r="E247" s="86" t="n">
        <x:v>46258</x:v>
      </x:c>
      <x:c r="F247" s="86" t="n">
        <x:v>46265</x:v>
      </x:c>
      <x:c r="G247" s="86"/>
      <x:c r="H247" s="85" t="str">
        <x:v>In Progress</x:v>
      </x:c>
      <x:c r="I247" s="85" t="str">
        <x:v>Low</x:v>
      </x:c>
      <x:c r="J247" s="87" t="n">
        <x:v>35</x:v>
      </x:c>
      <x:c r="K247" s="85" t="str">
        <x:v>Access Constraint</x:v>
      </x:c>
      <x:c r="L247" s="86" t="n">
        <x:v>46259</x:v>
      </x:c>
      <x:c r="M247" s="85" t="str">
        <x:v>Team Lead D</x:v>
      </x:c>
      <x:c r="N247" s="88" t="n">
        <x:f>IF(AND(H247&lt;&gt;"Completed",F247&lt;'Summary'!$B$3),'Summary'!$B$3-F247,0)</x:f>
        <x:v>1</x:v>
      </x:c>
      <x:c r="O247" s="88" t="n">
        <x:f>'Summary'!$B$3-L247</x:f>
        <x:v>7</x:v>
      </x:c>
      <x:c r="P247" s="88" t="str">
        <x:f>IF(AND(H247="Completed",G247&lt;&gt;"",F247&lt;&gt;""),G247-F247,"")</x:f>
      </x:c>
      <x:c r="Q247" s="89" t="str">
        <x:f>IF(OR(H247="On Hold",AND(I247="High",N247&gt;7,H247&lt;&gt;"Completed")),"Critical",IF(OR(AND(N247&gt;=1,N247&lt;=7,H247&lt;&gt;"Completed"),AND(O247&gt;7,H247&lt;&gt;"Completed")),"Warning","Normal"))</x:f>
        <x:v>Warning</x:v>
      </x:c>
      <x:c r="R247" s="90" t="str">
        <x:f>IF(AND(I247="High",N247&gt;7,H247&lt;&gt;"Completed"),"High-priority activity overdue by more than 7 days",IF(H247="On Hold","Activity is on hold",IF(AND(O247&gt;7,H247&lt;&gt;"Completed"),"Open activity has a stale update (&gt;7 days)",IF(AND(N247&gt;=1,N247&lt;=7,H247&lt;&gt;"Completed"),"Open activity overdue by 1-7 days",""))))</x:f>
        <x:v>Open activity overdue by 1-7 days</x:v>
      </x:c>
    </x:row>
    <x:row r="248">
      <x:c r="A248" s="84" t="str">
        <x:v>ACT-0244</x:v>
      </x:c>
      <x:c r="B248" s="85" t="str">
        <x:v>Construction</x:v>
      </x:c>
      <x:c r="C248" s="85" t="str">
        <x:v>CONST-B</x:v>
      </x:c>
      <x:c r="D248" s="85" t="str">
        <x:v>Field Installation</x:v>
      </x:c>
      <x:c r="E248" s="86" t="n">
        <x:v>46220</x:v>
      </x:c>
      <x:c r="F248" s="86" t="n">
        <x:v>46245</x:v>
      </x:c>
      <x:c r="G248" s="86"/>
      <x:c r="H248" s="85" t="str">
        <x:v>In Progress</x:v>
      </x:c>
      <x:c r="I248" s="85" t="str">
        <x:v>Medium</x:v>
      </x:c>
      <x:c r="J248" s="87" t="n">
        <x:v>85</x:v>
      </x:c>
      <x:c r="K248" s="85" t="str">
        <x:v>None</x:v>
      </x:c>
      <x:c r="L248" s="86" t="n">
        <x:v>46252</x:v>
      </x:c>
      <x:c r="M248" s="85" t="str">
        <x:v>Team Lead B</x:v>
      </x:c>
      <x:c r="N248" s="88" t="n">
        <x:f>IF(AND(H248&lt;&gt;"Completed",F248&lt;'Summary'!$B$3),'Summary'!$B$3-F248,0)</x:f>
        <x:v>21</x:v>
      </x:c>
      <x:c r="O248" s="88" t="n">
        <x:f>'Summary'!$B$3-L248</x:f>
        <x:v>14</x:v>
      </x:c>
      <x:c r="P248" s="88" t="str">
        <x:f>IF(AND(H248="Completed",G248&lt;&gt;"",F248&lt;&gt;""),G248-F248,"")</x:f>
      </x:c>
      <x:c r="Q248" s="89" t="str">
        <x:f>IF(OR(H248="On Hold",AND(I248="High",N248&gt;7,H248&lt;&gt;"Completed")),"Critical",IF(OR(AND(N248&gt;=1,N248&lt;=7,H248&lt;&gt;"Completed"),AND(O248&gt;7,H248&lt;&gt;"Completed")),"Warning","Normal"))</x:f>
        <x:v>Warning</x:v>
      </x:c>
      <x:c r="R248" s="90" t="str">
        <x:f>IF(AND(I248="High",N248&gt;7,H248&lt;&gt;"Completed"),"High-priority activity overdue by more than 7 days",IF(H248="On Hold","Activity is on hold",IF(AND(O248&gt;7,H248&lt;&gt;"Completed"),"Open activity has a stale update (&gt;7 days)",IF(AND(N248&gt;=1,N248&lt;=7,H248&lt;&gt;"Completed"),"Open activity overdue by 1-7 days",""))))</x:f>
        <x:v>Open activity has a stale update (&gt;7 days)</x:v>
      </x:c>
    </x:row>
    <x:row r="249">
      <x:c r="A249" s="84" t="str">
        <x:v>ACT-0245</x:v>
      </x:c>
      <x:c r="B249" s="85" t="str">
        <x:v>Construction</x:v>
      </x:c>
      <x:c r="C249" s="85" t="str">
        <x:v>CONST-B</x:v>
      </x:c>
      <x:c r="D249" s="85" t="str">
        <x:v>Punch Clearance</x:v>
      </x:c>
      <x:c r="E249" s="86" t="n">
        <x:v>46256</x:v>
      </x:c>
      <x:c r="F249" s="86" t="n">
        <x:v>46278</x:v>
      </x:c>
      <x:c r="G249" s="86" t="n">
        <x:v>46264</x:v>
      </x:c>
      <x:c r="H249" s="85" t="str">
        <x:v>Completed</x:v>
      </x:c>
      <x:c r="I249" s="85" t="str">
        <x:v>Low</x:v>
      </x:c>
      <x:c r="J249" s="87" t="n">
        <x:v>100</x:v>
      </x:c>
      <x:c r="K249" s="85" t="str">
        <x:v>None</x:v>
      </x:c>
      <x:c r="L249" s="86" t="n">
        <x:v>46261</x:v>
      </x:c>
      <x:c r="M249" s="85" t="str">
        <x:v>Team Lead A</x:v>
      </x:c>
      <x:c r="N249" s="88" t="n">
        <x:f>IF(AND(H249&lt;&gt;"Completed",F249&lt;'Summary'!$B$3),'Summary'!$B$3-F249,0)</x:f>
        <x:v>0</x:v>
      </x:c>
      <x:c r="O249" s="88" t="n">
        <x:f>'Summary'!$B$3-L249</x:f>
        <x:v>5</x:v>
      </x:c>
      <x:c r="P249" s="88" t="n">
        <x:f>IF(AND(H249="Completed",G249&lt;&gt;"",F249&lt;&gt;""),G249-F249,"")</x:f>
        <x:v>-14</x:v>
      </x:c>
      <x:c r="Q249" s="89" t="str">
        <x:f>IF(OR(H249="On Hold",AND(I249="High",N249&gt;7,H249&lt;&gt;"Completed")),"Critical",IF(OR(AND(N249&gt;=1,N249&lt;=7,H249&lt;&gt;"Completed"),AND(O249&gt;7,H249&lt;&gt;"Completed")),"Warning","Normal"))</x:f>
        <x:v>Normal</x:v>
      </x:c>
      <x:c r="R249" s="90" t="str">
        <x:f>IF(AND(I249="High",N249&gt;7,H249&lt;&gt;"Completed"),"High-priority activity overdue by more than 7 days",IF(H249="On Hold","Activity is on hold",IF(AND(O249&gt;7,H249&lt;&gt;"Completed"),"Open activity has a stale update (&gt;7 days)",IF(AND(N249&gt;=1,N249&lt;=7,H249&lt;&gt;"Completed"),"Open activity overdue by 1-7 days",""))))</x:f>
      </x:c>
    </x:row>
    <x:row r="250">
      <x:c r="A250" s="84" t="str">
        <x:v>ACT-0246</x:v>
      </x:c>
      <x:c r="B250" s="85" t="str">
        <x:v>QA/QC</x:v>
      </x:c>
      <x:c r="C250" s="85" t="str">
        <x:v>QA-A</x:v>
      </x:c>
      <x:c r="D250" s="85" t="str">
        <x:v>Quality Review</x:v>
      </x:c>
      <x:c r="E250" s="86" t="n">
        <x:v>46221</x:v>
      </x:c>
      <x:c r="F250" s="86" t="n">
        <x:v>46236</x:v>
      </x:c>
      <x:c r="G250" s="86" t="n">
        <x:v>46247</x:v>
      </x:c>
      <x:c r="H250" s="85" t="str">
        <x:v>Completed</x:v>
      </x:c>
      <x:c r="I250" s="85" t="str">
        <x:v>Medium</x:v>
      </x:c>
      <x:c r="J250" s="87" t="n">
        <x:v>100</x:v>
      </x:c>
      <x:c r="K250" s="85" t="str">
        <x:v>None</x:v>
      </x:c>
      <x:c r="L250" s="86" t="n">
        <x:v>46246</x:v>
      </x:c>
      <x:c r="M250" s="85" t="str">
        <x:v>Team Lead A</x:v>
      </x:c>
      <x:c r="N250" s="88" t="n">
        <x:f>IF(AND(H250&lt;&gt;"Completed",F250&lt;'Summary'!$B$3),'Summary'!$B$3-F250,0)</x:f>
        <x:v>0</x:v>
      </x:c>
      <x:c r="O250" s="88" t="n">
        <x:f>'Summary'!$B$3-L250</x:f>
        <x:v>20</x:v>
      </x:c>
      <x:c r="P250" s="88" t="n">
        <x:f>IF(AND(H250="Completed",G250&lt;&gt;"",F250&lt;&gt;""),G250-F250,"")</x:f>
        <x:v>11</x:v>
      </x:c>
      <x:c r="Q250" s="89" t="str">
        <x:f>IF(OR(H250="On Hold",AND(I250="High",N250&gt;7,H250&lt;&gt;"Completed")),"Critical",IF(OR(AND(N250&gt;=1,N250&lt;=7,H250&lt;&gt;"Completed"),AND(O250&gt;7,H250&lt;&gt;"Completed")),"Warning","Normal"))</x:f>
        <x:v>Normal</x:v>
      </x:c>
      <x:c r="R250" s="90" t="str">
        <x:f>IF(AND(I250="High",N250&gt;7,H250&lt;&gt;"Completed"),"High-priority activity overdue by more than 7 days",IF(H250="On Hold","Activity is on hold",IF(AND(O250&gt;7,H250&lt;&gt;"Completed"),"Open activity has a stale update (&gt;7 days)",IF(AND(N250&gt;=1,N250&lt;=7,H250&lt;&gt;"Completed"),"Open activity overdue by 1-7 days",""))))</x:f>
      </x:c>
    </x:row>
    <x:row r="251">
      <x:c r="A251" s="84" t="str">
        <x:v>ACT-0247</x:v>
      </x:c>
      <x:c r="B251" s="85" t="str">
        <x:v>Construction</x:v>
      </x:c>
      <x:c r="C251" s="85" t="str">
        <x:v>CONST-B</x:v>
      </x:c>
      <x:c r="D251" s="85" t="str">
        <x:v>Site Preparation</x:v>
      </x:c>
      <x:c r="E251" s="86" t="n">
        <x:v>46184</x:v>
      </x:c>
      <x:c r="F251" s="86" t="n">
        <x:v>46190</x:v>
      </x:c>
      <x:c r="G251" s="86"/>
      <x:c r="H251" s="85" t="str">
        <x:v>In Progress</x:v>
      </x:c>
      <x:c r="I251" s="85" t="str">
        <x:v>Medium</x:v>
      </x:c>
      <x:c r="J251" s="87" t="n">
        <x:v>60</x:v>
      </x:c>
      <x:c r="K251" s="85" t="str">
        <x:v>Approval Delay</x:v>
      </x:c>
      <x:c r="L251" s="86" t="n">
        <x:v>46262</x:v>
      </x:c>
      <x:c r="M251" s="85" t="str">
        <x:v>Team Lead B</x:v>
      </x:c>
      <x:c r="N251" s="88" t="n">
        <x:f>IF(AND(H251&lt;&gt;"Completed",F251&lt;'Summary'!$B$3),'Summary'!$B$3-F251,0)</x:f>
        <x:v>76</x:v>
      </x:c>
      <x:c r="O251" s="88" t="n">
        <x:f>'Summary'!$B$3-L251</x:f>
        <x:v>4</x:v>
      </x:c>
      <x:c r="P251" s="88" t="str">
        <x:f>IF(AND(H251="Completed",G251&lt;&gt;"",F251&lt;&gt;""),G251-F251,"")</x:f>
      </x:c>
      <x:c r="Q251" s="89" t="str">
        <x:f>IF(OR(H251="On Hold",AND(I251="High",N251&gt;7,H251&lt;&gt;"Completed")),"Critical",IF(OR(AND(N251&gt;=1,N251&lt;=7,H251&lt;&gt;"Completed"),AND(O251&gt;7,H251&lt;&gt;"Completed")),"Warning","Normal"))</x:f>
        <x:v>Normal</x:v>
      </x:c>
      <x:c r="R251" s="90" t="str">
        <x:f>IF(AND(I251="High",N251&gt;7,H251&lt;&gt;"Completed"),"High-priority activity overdue by more than 7 days",IF(H251="On Hold","Activity is on hold",IF(AND(O251&gt;7,H251&lt;&gt;"Completed"),"Open activity has a stale update (&gt;7 days)",IF(AND(N251&gt;=1,N251&lt;=7,H251&lt;&gt;"Completed"),"Open activity overdue by 1-7 days",""))))</x:f>
      </x:c>
    </x:row>
    <x:row r="252">
      <x:c r="A252" s="84" t="str">
        <x:v>ACT-0248</x:v>
      </x:c>
      <x:c r="B252" s="85" t="str">
        <x:v>Construction</x:v>
      </x:c>
      <x:c r="C252" s="85" t="str">
        <x:v>CONST-B</x:v>
      </x:c>
      <x:c r="D252" s="85" t="str">
        <x:v>Site Preparation</x:v>
      </x:c>
      <x:c r="E252" s="86" t="n">
        <x:v>46186</x:v>
      </x:c>
      <x:c r="F252" s="86" t="n">
        <x:v>46203</x:v>
      </x:c>
      <x:c r="G252" s="86"/>
      <x:c r="H252" s="85" t="str">
        <x:v>In Progress</x:v>
      </x:c>
      <x:c r="I252" s="85" t="str">
        <x:v>Medium</x:v>
      </x:c>
      <x:c r="J252" s="87" t="n">
        <x:v>35</x:v>
      </x:c>
      <x:c r="K252" s="85" t="str">
        <x:v>None</x:v>
      </x:c>
      <x:c r="L252" s="86" t="n">
        <x:v>46262</x:v>
      </x:c>
      <x:c r="M252" s="85" t="str">
        <x:v>Team Lead F</x:v>
      </x:c>
      <x:c r="N252" s="88" t="n">
        <x:f>IF(AND(H252&lt;&gt;"Completed",F252&lt;'Summary'!$B$3),'Summary'!$B$3-F252,0)</x:f>
        <x:v>63</x:v>
      </x:c>
      <x:c r="O252" s="88" t="n">
        <x:f>'Summary'!$B$3-L252</x:f>
        <x:v>4</x:v>
      </x:c>
      <x:c r="P252" s="88" t="str">
        <x:f>IF(AND(H252="Completed",G252&lt;&gt;"",F252&lt;&gt;""),G252-F252,"")</x:f>
      </x:c>
      <x:c r="Q252" s="89" t="str">
        <x:f>IF(OR(H252="On Hold",AND(I252="High",N252&gt;7,H252&lt;&gt;"Completed")),"Critical",IF(OR(AND(N252&gt;=1,N252&lt;=7,H252&lt;&gt;"Completed"),AND(O252&gt;7,H252&lt;&gt;"Completed")),"Warning","Normal"))</x:f>
        <x:v>Normal</x:v>
      </x:c>
      <x:c r="R252" s="90" t="str">
        <x:f>IF(AND(I252="High",N252&gt;7,H252&lt;&gt;"Completed"),"High-priority activity overdue by more than 7 days",IF(H252="On Hold","Activity is on hold",IF(AND(O252&gt;7,H252&lt;&gt;"Completed"),"Open activity has a stale update (&gt;7 days)",IF(AND(N252&gt;=1,N252&lt;=7,H252&lt;&gt;"Completed"),"Open activity overdue by 1-7 days",""))))</x:f>
      </x:c>
    </x:row>
    <x:row r="253">
      <x:c r="A253" s="84" t="str">
        <x:v>ACT-0249</x:v>
      </x:c>
      <x:c r="B253" s="85" t="str">
        <x:v>Engineering</x:v>
      </x:c>
      <x:c r="C253" s="85" t="str">
        <x:v>ENG-B</x:v>
      </x:c>
      <x:c r="D253" s="85" t="str">
        <x:v>Drawing Review</x:v>
      </x:c>
      <x:c r="E253" s="86" t="n">
        <x:v>46260</x:v>
      </x:c>
      <x:c r="F253" s="86" t="n">
        <x:v>46288</x:v>
      </x:c>
      <x:c r="G253" s="86"/>
      <x:c r="H253" s="85" t="str">
        <x:v>In Progress</x:v>
      </x:c>
      <x:c r="I253" s="85" t="str">
        <x:v>Low</x:v>
      </x:c>
      <x:c r="J253" s="87" t="n">
        <x:v>50</x:v>
      </x:c>
      <x:c r="K253" s="85" t="str">
        <x:v>None</x:v>
      </x:c>
      <x:c r="L253" s="86" t="n">
        <x:v>46258</x:v>
      </x:c>
      <x:c r="M253" s="85" t="str">
        <x:v>Team Lead B</x:v>
      </x:c>
      <x:c r="N253" s="88" t="n">
        <x:f>IF(AND(H253&lt;&gt;"Completed",F253&lt;'Summary'!$B$3),'Summary'!$B$3-F253,0)</x:f>
        <x:v>0</x:v>
      </x:c>
      <x:c r="O253" s="88" t="n">
        <x:f>'Summary'!$B$3-L253</x:f>
        <x:v>8</x:v>
      </x:c>
      <x:c r="P253" s="88" t="str">
        <x:f>IF(AND(H253="Completed",G253&lt;&gt;"",F253&lt;&gt;""),G253-F253,"")</x:f>
      </x:c>
      <x:c r="Q253" s="89" t="str">
        <x:f>IF(OR(H253="On Hold",AND(I253="High",N253&gt;7,H253&lt;&gt;"Completed")),"Critical",IF(OR(AND(N253&gt;=1,N253&lt;=7,H253&lt;&gt;"Completed"),AND(O253&gt;7,H253&lt;&gt;"Completed")),"Warning","Normal"))</x:f>
        <x:v>Warning</x:v>
      </x:c>
      <x:c r="R253" s="90" t="str">
        <x:f>IF(AND(I253="High",N253&gt;7,H253&lt;&gt;"Completed"),"High-priority activity overdue by more than 7 days",IF(H253="On Hold","Activity is on hold",IF(AND(O253&gt;7,H253&lt;&gt;"Completed"),"Open activity has a stale update (&gt;7 days)",IF(AND(N253&gt;=1,N253&lt;=7,H253&lt;&gt;"Completed"),"Open activity overdue by 1-7 days",""))))</x:f>
        <x:v>Open activity has a stale update (&gt;7 days)</x:v>
      </x:c>
    </x:row>
    <x:row r="254">
      <x:c r="A254" s="84" t="str">
        <x:v>ACT-0250</x:v>
      </x:c>
      <x:c r="B254" s="85" t="str">
        <x:v>QA/QC</x:v>
      </x:c>
      <x:c r="C254" s="85" t="str">
        <x:v>QA-B</x:v>
      </x:c>
      <x:c r="D254" s="85" t="str">
        <x:v>Quality Review</x:v>
      </x:c>
      <x:c r="E254" s="86" t="n">
        <x:v>46203</x:v>
      </x:c>
      <x:c r="F254" s="86" t="n">
        <x:v>46231</x:v>
      </x:c>
      <x:c r="G254" s="86" t="n">
        <x:v>46239</x:v>
      </x:c>
      <x:c r="H254" s="85" t="str">
        <x:v>Completed</x:v>
      </x:c>
      <x:c r="I254" s="85" t="str">
        <x:v>High</x:v>
      </x:c>
      <x:c r="J254" s="87" t="n">
        <x:v>100</x:v>
      </x:c>
      <x:c r="K254" s="85" t="str">
        <x:v>None</x:v>
      </x:c>
      <x:c r="L254" s="86" t="n">
        <x:v>46236</x:v>
      </x:c>
      <x:c r="M254" s="85" t="str">
        <x:v>Team Lead E</x:v>
      </x:c>
      <x:c r="N254" s="88" t="n">
        <x:f>IF(AND(H254&lt;&gt;"Completed",F254&lt;'Summary'!$B$3),'Summary'!$B$3-F254,0)</x:f>
        <x:v>0</x:v>
      </x:c>
      <x:c r="O254" s="88" t="n">
        <x:f>'Summary'!$B$3-L254</x:f>
        <x:v>30</x:v>
      </x:c>
      <x:c r="P254" s="88" t="n">
        <x:f>IF(AND(H254="Completed",G254&lt;&gt;"",F254&lt;&gt;""),G254-F254,"")</x:f>
        <x:v>8</x:v>
      </x:c>
      <x:c r="Q254" s="89" t="str">
        <x:f>IF(OR(H254="On Hold",AND(I254="High",N254&gt;7,H254&lt;&gt;"Completed")),"Critical",IF(OR(AND(N254&gt;=1,N254&lt;=7,H254&lt;&gt;"Completed"),AND(O254&gt;7,H254&lt;&gt;"Completed")),"Warning","Normal"))</x:f>
        <x:v>Normal</x:v>
      </x:c>
      <x:c r="R254" s="90" t="str">
        <x:f>IF(AND(I254="High",N254&gt;7,H254&lt;&gt;"Completed"),"High-priority activity overdue by more than 7 days",IF(H254="On Hold","Activity is on hold",IF(AND(O254&gt;7,H254&lt;&gt;"Completed"),"Open activity has a stale update (&gt;7 days)",IF(AND(N254&gt;=1,N254&lt;=7,H254&lt;&gt;"Completed"),"Open activity overdue by 1-7 days",""))))</x:f>
      </x:c>
    </x:row>
    <x:row r="255">
      <x:c r="A255" s="84" t="str">
        <x:v>ACT-0251</x:v>
      </x:c>
      <x:c r="B255" s="85" t="str">
        <x:v>Procurement</x:v>
      </x:c>
      <x:c r="C255" s="85" t="str">
        <x:v>PROC-A</x:v>
      </x:c>
      <x:c r="D255" s="85" t="str">
        <x:v>Material Status Update</x:v>
      </x:c>
      <x:c r="E255" s="86" t="n">
        <x:v>46228</x:v>
      </x:c>
      <x:c r="F255" s="86" t="n">
        <x:v>46243</x:v>
      </x:c>
      <x:c r="G255" s="86" t="n">
        <x:v>46246</x:v>
      </x:c>
      <x:c r="H255" s="85" t="str">
        <x:v>Completed</x:v>
      </x:c>
      <x:c r="I255" s="85" t="str">
        <x:v>High</x:v>
      </x:c>
      <x:c r="J255" s="87" t="n">
        <x:v>100</x:v>
      </x:c>
      <x:c r="K255" s="85" t="str">
        <x:v>Approval Delay</x:v>
      </x:c>
      <x:c r="L255" s="86" t="n">
        <x:v>46246</x:v>
      </x:c>
      <x:c r="M255" s="85" t="str">
        <x:v>Team Lead E</x:v>
      </x:c>
      <x:c r="N255" s="88" t="n">
        <x:f>IF(AND(H255&lt;&gt;"Completed",F255&lt;'Summary'!$B$3),'Summary'!$B$3-F255,0)</x:f>
        <x:v>0</x:v>
      </x:c>
      <x:c r="O255" s="88" t="n">
        <x:f>'Summary'!$B$3-L255</x:f>
        <x:v>20</x:v>
      </x:c>
      <x:c r="P255" s="88" t="n">
        <x:f>IF(AND(H255="Completed",G255&lt;&gt;"",F255&lt;&gt;""),G255-F255,"")</x:f>
        <x:v>3</x:v>
      </x:c>
      <x:c r="Q255" s="89" t="str">
        <x:f>IF(OR(H255="On Hold",AND(I255="High",N255&gt;7,H255&lt;&gt;"Completed")),"Critical",IF(OR(AND(N255&gt;=1,N255&lt;=7,H255&lt;&gt;"Completed"),AND(O255&gt;7,H255&lt;&gt;"Completed")),"Warning","Normal"))</x:f>
        <x:v>Normal</x:v>
      </x:c>
      <x:c r="R255" s="90" t="str">
        <x:f>IF(AND(I255="High",N255&gt;7,H255&lt;&gt;"Completed"),"High-priority activity overdue by more than 7 days",IF(H255="On Hold","Activity is on hold",IF(AND(O255&gt;7,H255&lt;&gt;"Completed"),"Open activity has a stale update (&gt;7 days)",IF(AND(N255&gt;=1,N255&lt;=7,H255&lt;&gt;"Completed"),"Open activity overdue by 1-7 days",""))))</x:f>
      </x:c>
    </x:row>
    <x:row r="256">
      <x:c r="A256" s="84" t="str">
        <x:v>ACT-0252</x:v>
      </x:c>
      <x:c r="B256" s="85" t="str">
        <x:v>Engineering</x:v>
      </x:c>
      <x:c r="C256" s="85" t="str">
        <x:v>ENG-B</x:v>
      </x:c>
      <x:c r="D256" s="85" t="str">
        <x:v>RFI Closure</x:v>
      </x:c>
      <x:c r="E256" s="86" t="n">
        <x:v>46232</x:v>
      </x:c>
      <x:c r="F256" s="86" t="n">
        <x:v>46238</x:v>
      </x:c>
      <x:c r="G256" s="86" t="n">
        <x:v>46249</x:v>
      </x:c>
      <x:c r="H256" s="85" t="str">
        <x:v>Completed</x:v>
      </x:c>
      <x:c r="I256" s="85" t="str">
        <x:v>Low</x:v>
      </x:c>
      <x:c r="J256" s="87" t="n">
        <x:v>100</x:v>
      </x:c>
      <x:c r="K256" s="85" t="str">
        <x:v>Approval Delay</x:v>
      </x:c>
      <x:c r="L256" s="86" t="n">
        <x:v>46247</x:v>
      </x:c>
      <x:c r="M256" s="85" t="str">
        <x:v>Team Lead E</x:v>
      </x:c>
      <x:c r="N256" s="88" t="n">
        <x:f>IF(AND(H256&lt;&gt;"Completed",F256&lt;'Summary'!$B$3),'Summary'!$B$3-F256,0)</x:f>
        <x:v>0</x:v>
      </x:c>
      <x:c r="O256" s="88" t="n">
        <x:f>'Summary'!$B$3-L256</x:f>
        <x:v>19</x:v>
      </x:c>
      <x:c r="P256" s="88" t="n">
        <x:f>IF(AND(H256="Completed",G256&lt;&gt;"",F256&lt;&gt;""),G256-F256,"")</x:f>
        <x:v>11</x:v>
      </x:c>
      <x:c r="Q256" s="89" t="str">
        <x:f>IF(OR(H256="On Hold",AND(I256="High",N256&gt;7,H256&lt;&gt;"Completed")),"Critical",IF(OR(AND(N256&gt;=1,N256&lt;=7,H256&lt;&gt;"Completed"),AND(O256&gt;7,H256&lt;&gt;"Completed")),"Warning","Normal"))</x:f>
        <x:v>Normal</x:v>
      </x:c>
      <x:c r="R256" s="90" t="str">
        <x:f>IF(AND(I256="High",N256&gt;7,H256&lt;&gt;"Completed"),"High-priority activity overdue by more than 7 days",IF(H256="On Hold","Activity is on hold",IF(AND(O256&gt;7,H256&lt;&gt;"Completed"),"Open activity has a stale update (&gt;7 days)",IF(AND(N256&gt;=1,N256&lt;=7,H256&lt;&gt;"Completed"),"Open activity overdue by 1-7 days",""))))</x:f>
      </x:c>
    </x:row>
    <x:row r="257">
      <x:c r="A257" s="84" t="str">
        <x:v>ACT-0253</x:v>
      </x:c>
      <x:c r="B257" s="85" t="str">
        <x:v>QA/QC</x:v>
      </x:c>
      <x:c r="C257" s="85" t="str">
        <x:v>QA-A</x:v>
      </x:c>
      <x:c r="D257" s="85" t="str">
        <x:v>Punch Clearance</x:v>
      </x:c>
      <x:c r="E257" s="86" t="n">
        <x:v>46219</x:v>
      </x:c>
      <x:c r="F257" s="86" t="n">
        <x:v>46236</x:v>
      </x:c>
      <x:c r="G257" s="86" t="n">
        <x:v>46240</x:v>
      </x:c>
      <x:c r="H257" s="85" t="str">
        <x:v>Completed</x:v>
      </x:c>
      <x:c r="I257" s="85" t="str">
        <x:v>Low</x:v>
      </x:c>
      <x:c r="J257" s="87" t="n">
        <x:v>100</x:v>
      </x:c>
      <x:c r="K257" s="85" t="str">
        <x:v>Approval Delay</x:v>
      </x:c>
      <x:c r="L257" s="86" t="n">
        <x:v>46236</x:v>
      </x:c>
      <x:c r="M257" s="85" t="str">
        <x:v>Team Lead F</x:v>
      </x:c>
      <x:c r="N257" s="88" t="n">
        <x:f>IF(AND(H257&lt;&gt;"Completed",F257&lt;'Summary'!$B$3),'Summary'!$B$3-F257,0)</x:f>
        <x:v>0</x:v>
      </x:c>
      <x:c r="O257" s="88" t="n">
        <x:f>'Summary'!$B$3-L257</x:f>
        <x:v>30</x:v>
      </x:c>
      <x:c r="P257" s="88" t="n">
        <x:f>IF(AND(H257="Completed",G257&lt;&gt;"",F257&lt;&gt;""),G257-F257,"")</x:f>
        <x:v>4</x:v>
      </x:c>
      <x:c r="Q257" s="89" t="str">
        <x:f>IF(OR(H257="On Hold",AND(I257="High",N257&gt;7,H257&lt;&gt;"Completed")),"Critical",IF(OR(AND(N257&gt;=1,N257&lt;=7,H257&lt;&gt;"Completed"),AND(O257&gt;7,H257&lt;&gt;"Completed")),"Warning","Normal"))</x:f>
        <x:v>Normal</x:v>
      </x:c>
      <x:c r="R257" s="90" t="str">
        <x:f>IF(AND(I257="High",N257&gt;7,H257&lt;&gt;"Completed"),"High-priority activity overdue by more than 7 days",IF(H257="On Hold","Activity is on hold",IF(AND(O257&gt;7,H257&lt;&gt;"Completed"),"Open activity has a stale update (&gt;7 days)",IF(AND(N257&gt;=1,N257&lt;=7,H257&lt;&gt;"Completed"),"Open activity overdue by 1-7 days",""))))</x:f>
      </x:c>
    </x:row>
    <x:row r="258">
      <x:c r="A258" s="84" t="str">
        <x:v>ACT-0254</x:v>
      </x:c>
      <x:c r="B258" s="85" t="str">
        <x:v>Engineering</x:v>
      </x:c>
      <x:c r="C258" s="85" t="str">
        <x:v>ENG-A</x:v>
      </x:c>
      <x:c r="D258" s="85" t="str">
        <x:v>RFI Closure</x:v>
      </x:c>
      <x:c r="E258" s="86" t="n">
        <x:v>46213</x:v>
      </x:c>
      <x:c r="F258" s="86" t="n">
        <x:v>46219</x:v>
      </x:c>
      <x:c r="G258" s="86" t="n">
        <x:v>46230</x:v>
      </x:c>
      <x:c r="H258" s="85" t="str">
        <x:v>Completed</x:v>
      </x:c>
      <x:c r="I258" s="85" t="str">
        <x:v>Medium</x:v>
      </x:c>
      <x:c r="J258" s="87" t="n">
        <x:v>100</x:v>
      </x:c>
      <x:c r="K258" s="85" t="str">
        <x:v>None</x:v>
      </x:c>
      <x:c r="L258" s="86" t="n">
        <x:v>46227</x:v>
      </x:c>
      <x:c r="M258" s="85" t="str">
        <x:v>Team Lead B</x:v>
      </x:c>
      <x:c r="N258" s="88" t="n">
        <x:f>IF(AND(H258&lt;&gt;"Completed",F258&lt;'Summary'!$B$3),'Summary'!$B$3-F258,0)</x:f>
        <x:v>0</x:v>
      </x:c>
      <x:c r="O258" s="88" t="n">
        <x:f>'Summary'!$B$3-L258</x:f>
        <x:v>39</x:v>
      </x:c>
      <x:c r="P258" s="88" t="n">
        <x:f>IF(AND(H258="Completed",G258&lt;&gt;"",F258&lt;&gt;""),G258-F258,"")</x:f>
        <x:v>11</x:v>
      </x:c>
      <x:c r="Q258" s="89" t="str">
        <x:f>IF(OR(H258="On Hold",AND(I258="High",N258&gt;7,H258&lt;&gt;"Completed")),"Critical",IF(OR(AND(N258&gt;=1,N258&lt;=7,H258&lt;&gt;"Completed"),AND(O258&gt;7,H258&lt;&gt;"Completed")),"Warning","Normal"))</x:f>
        <x:v>Normal</x:v>
      </x:c>
      <x:c r="R258" s="90" t="str">
        <x:f>IF(AND(I258="High",N258&gt;7,H258&lt;&gt;"Completed"),"High-priority activity overdue by more than 7 days",IF(H258="On Hold","Activity is on hold",IF(AND(O258&gt;7,H258&lt;&gt;"Completed"),"Open activity has a stale update (&gt;7 days)",IF(AND(N258&gt;=1,N258&lt;=7,H258&lt;&gt;"Completed"),"Open activity overdue by 1-7 days",""))))</x:f>
      </x:c>
    </x:row>
    <x:row r="259">
      <x:c r="A259" s="84" t="str">
        <x:v>ACT-0255</x:v>
      </x:c>
      <x:c r="B259" s="85" t="str">
        <x:v>Construction</x:v>
      </x:c>
      <x:c r="C259" s="85" t="str">
        <x:v>CONST-B</x:v>
      </x:c>
      <x:c r="D259" s="85" t="str">
        <x:v>Punch Clearance</x:v>
      </x:c>
      <x:c r="E259" s="86" t="n">
        <x:v>46236</x:v>
      </x:c>
      <x:c r="F259" s="86" t="n">
        <x:v>46259</x:v>
      </x:c>
      <x:c r="G259" s="86"/>
      <x:c r="H259" s="85" t="str">
        <x:v>In Progress</x:v>
      </x:c>
      <x:c r="I259" s="85" t="str">
        <x:v>Low</x:v>
      </x:c>
      <x:c r="J259" s="87" t="n">
        <x:v>40</x:v>
      </x:c>
      <x:c r="K259" s="85" t="str">
        <x:v>None</x:v>
      </x:c>
      <x:c r="L259" s="86" t="n">
        <x:v>46258</x:v>
      </x:c>
      <x:c r="M259" s="85" t="str">
        <x:v>Team Lead C</x:v>
      </x:c>
      <x:c r="N259" s="88" t="n">
        <x:f>IF(AND(H259&lt;&gt;"Completed",F259&lt;'Summary'!$B$3),'Summary'!$B$3-F259,0)</x:f>
        <x:v>7</x:v>
      </x:c>
      <x:c r="O259" s="88" t="n">
        <x:f>'Summary'!$B$3-L259</x:f>
        <x:v>8</x:v>
      </x:c>
      <x:c r="P259" s="88" t="str">
        <x:f>IF(AND(H259="Completed",G259&lt;&gt;"",F259&lt;&gt;""),G259-F259,"")</x:f>
      </x:c>
      <x:c r="Q259" s="89" t="str">
        <x:f>IF(OR(H259="On Hold",AND(I259="High",N259&gt;7,H259&lt;&gt;"Completed")),"Critical",IF(OR(AND(N259&gt;=1,N259&lt;=7,H259&lt;&gt;"Completed"),AND(O259&gt;7,H259&lt;&gt;"Completed")),"Warning","Normal"))</x:f>
        <x:v>Warning</x:v>
      </x:c>
      <x:c r="R259" s="90" t="str">
        <x:f>IF(AND(I259="High",N259&gt;7,H259&lt;&gt;"Completed"),"High-priority activity overdue by more than 7 days",IF(H259="On Hold","Activity is on hold",IF(AND(O259&gt;7,H259&lt;&gt;"Completed"),"Open activity has a stale update (&gt;7 days)",IF(AND(N259&gt;=1,N259&lt;=7,H259&lt;&gt;"Completed"),"Open activity overdue by 1-7 days",""))))</x:f>
        <x:v>Open activity has a stale update (&gt;7 days)</x:v>
      </x:c>
    </x:row>
    <x:row r="260">
      <x:c r="A260" s="84" t="str">
        <x:v>ACT-0256</x:v>
      </x:c>
      <x:c r="B260" s="85" t="str">
        <x:v>Engineering</x:v>
      </x:c>
      <x:c r="C260" s="85" t="str">
        <x:v>ENG-B</x:v>
      </x:c>
      <x:c r="D260" s="85" t="str">
        <x:v>Design Update</x:v>
      </x:c>
      <x:c r="E260" s="86" t="n">
        <x:v>46253</x:v>
      </x:c>
      <x:c r="F260" s="86" t="n">
        <x:v>46257</x:v>
      </x:c>
      <x:c r="G260" s="86"/>
      <x:c r="H260" s="85" t="str">
        <x:v>On Hold</x:v>
      </x:c>
      <x:c r="I260" s="85" t="str">
        <x:v>Low</x:v>
      </x:c>
      <x:c r="J260" s="87" t="n">
        <x:v>40</x:v>
      </x:c>
      <x:c r="K260" s="85" t="str">
        <x:v>Approval Delay</x:v>
      </x:c>
      <x:c r="L260" s="86" t="n">
        <x:v>46257</x:v>
      </x:c>
      <x:c r="M260" s="85" t="str">
        <x:v>Team Lead D</x:v>
      </x:c>
      <x:c r="N260" s="88" t="n">
        <x:f>IF(AND(H260&lt;&gt;"Completed",F260&lt;'Summary'!$B$3),'Summary'!$B$3-F260,0)</x:f>
        <x:v>9</x:v>
      </x:c>
      <x:c r="O260" s="88" t="n">
        <x:f>'Summary'!$B$3-L260</x:f>
        <x:v>9</x:v>
      </x:c>
      <x:c r="P260" s="88" t="str">
        <x:f>IF(AND(H260="Completed",G260&lt;&gt;"",F260&lt;&gt;""),G260-F260,"")</x:f>
      </x:c>
      <x:c r="Q260" s="89" t="str">
        <x:f>IF(OR(H260="On Hold",AND(I260="High",N260&gt;7,H260&lt;&gt;"Completed")),"Critical",IF(OR(AND(N260&gt;=1,N260&lt;=7,H260&lt;&gt;"Completed"),AND(O260&gt;7,H260&lt;&gt;"Completed")),"Warning","Normal"))</x:f>
        <x:v>Critical</x:v>
      </x:c>
      <x:c r="R260" s="90" t="str">
        <x:f>IF(AND(I260="High",N260&gt;7,H260&lt;&gt;"Completed"),"High-priority activity overdue by more than 7 days",IF(H260="On Hold","Activity is on hold",IF(AND(O260&gt;7,H260&lt;&gt;"Completed"),"Open activity has a stale update (&gt;7 days)",IF(AND(N260&gt;=1,N260&lt;=7,H260&lt;&gt;"Completed"),"Open activity overdue by 1-7 days",""))))</x:f>
        <x:v>Activity is on hold</x:v>
      </x:c>
    </x:row>
    <x:row r="261">
      <x:c r="A261" s="84" t="str">
        <x:v>ACT-0257</x:v>
      </x:c>
      <x:c r="B261" s="85" t="str">
        <x:v>Procurement</x:v>
      </x:c>
      <x:c r="C261" s="85" t="str">
        <x:v>PROC-A</x:v>
      </x:c>
      <x:c r="D261" s="85" t="str">
        <x:v>Vendor Follow-up</x:v>
      </x:c>
      <x:c r="E261" s="86" t="n">
        <x:v>46261</x:v>
      </x:c>
      <x:c r="F261" s="86" t="n">
        <x:v>46279</x:v>
      </x:c>
      <x:c r="G261" s="86"/>
      <x:c r="H261" s="85" t="str">
        <x:v>In Progress</x:v>
      </x:c>
      <x:c r="I261" s="85" t="str">
        <x:v>Low</x:v>
      </x:c>
      <x:c r="J261" s="87" t="n">
        <x:v>70</x:v>
      </x:c>
      <x:c r="K261" s="85" t="str">
        <x:v>None</x:v>
      </x:c>
      <x:c r="L261" s="86" t="n">
        <x:v>46264</x:v>
      </x:c>
      <x:c r="M261" s="85" t="str">
        <x:v>Team Lead A</x:v>
      </x:c>
      <x:c r="N261" s="88" t="n">
        <x:f>IF(AND(H261&lt;&gt;"Completed",F261&lt;'Summary'!$B$3),'Summary'!$B$3-F261,0)</x:f>
        <x:v>0</x:v>
      </x:c>
      <x:c r="O261" s="88" t="n">
        <x:f>'Summary'!$B$3-L261</x:f>
        <x:v>2</x:v>
      </x:c>
      <x:c r="P261" s="88" t="str">
        <x:f>IF(AND(H261="Completed",G261&lt;&gt;"",F261&lt;&gt;""),G261-F261,"")</x:f>
      </x:c>
      <x:c r="Q261" s="89" t="str">
        <x:f>IF(OR(H261="On Hold",AND(I261="High",N261&gt;7,H261&lt;&gt;"Completed")),"Critical",IF(OR(AND(N261&gt;=1,N261&lt;=7,H261&lt;&gt;"Completed"),AND(O261&gt;7,H261&lt;&gt;"Completed")),"Warning","Normal"))</x:f>
        <x:v>Normal</x:v>
      </x:c>
      <x:c r="R261" s="90" t="str">
        <x:f>IF(AND(I261="High",N261&gt;7,H261&lt;&gt;"Completed"),"High-priority activity overdue by more than 7 days",IF(H261="On Hold","Activity is on hold",IF(AND(O261&gt;7,H261&lt;&gt;"Completed"),"Open activity has a stale update (&gt;7 days)",IF(AND(N261&gt;=1,N261&lt;=7,H261&lt;&gt;"Completed"),"Open activity overdue by 1-7 days",""))))</x:f>
      </x:c>
    </x:row>
    <x:row r="262">
      <x:c r="A262" s="84" t="str">
        <x:v>ACT-0258</x:v>
      </x:c>
      <x:c r="B262" s="85" t="str">
        <x:v>Project Controls</x:v>
      </x:c>
      <x:c r="C262" s="85" t="str">
        <x:v>PC-A</x:v>
      </x:c>
      <x:c r="D262" s="85" t="str">
        <x:v>Schedule Review</x:v>
      </x:c>
      <x:c r="E262" s="86" t="n">
        <x:v>46178</x:v>
      </x:c>
      <x:c r="F262" s="86" t="n">
        <x:v>46189</x:v>
      </x:c>
      <x:c r="G262" s="86" t="n">
        <x:v>46198</x:v>
      </x:c>
      <x:c r="H262" s="85" t="str">
        <x:v>Completed</x:v>
      </x:c>
      <x:c r="I262" s="85" t="str">
        <x:v>Medium</x:v>
      </x:c>
      <x:c r="J262" s="87" t="n">
        <x:v>100</x:v>
      </x:c>
      <x:c r="K262" s="85" t="str">
        <x:v>Manpower</x:v>
      </x:c>
      <x:c r="L262" s="86" t="n">
        <x:v>46194</x:v>
      </x:c>
      <x:c r="M262" s="85" t="str">
        <x:v>Team Lead D</x:v>
      </x:c>
      <x:c r="N262" s="88" t="n">
        <x:f>IF(AND(H262&lt;&gt;"Completed",F262&lt;'Summary'!$B$3),'Summary'!$B$3-F262,0)</x:f>
        <x:v>0</x:v>
      </x:c>
      <x:c r="O262" s="88" t="n">
        <x:f>'Summary'!$B$3-L262</x:f>
        <x:v>72</x:v>
      </x:c>
      <x:c r="P262" s="88" t="n">
        <x:f>IF(AND(H262="Completed",G262&lt;&gt;"",F262&lt;&gt;""),G262-F262,"")</x:f>
        <x:v>9</x:v>
      </x:c>
      <x:c r="Q262" s="89" t="str">
        <x:f>IF(OR(H262="On Hold",AND(I262="High",N262&gt;7,H262&lt;&gt;"Completed")),"Critical",IF(OR(AND(N262&gt;=1,N262&lt;=7,H262&lt;&gt;"Completed"),AND(O262&gt;7,H262&lt;&gt;"Completed")),"Warning","Normal"))</x:f>
        <x:v>Normal</x:v>
      </x:c>
      <x:c r="R262" s="90" t="str">
        <x:f>IF(AND(I262="High",N262&gt;7,H262&lt;&gt;"Completed"),"High-priority activity overdue by more than 7 days",IF(H262="On Hold","Activity is on hold",IF(AND(O262&gt;7,H262&lt;&gt;"Completed"),"Open activity has a stale update (&gt;7 days)",IF(AND(N262&gt;=1,N262&lt;=7,H262&lt;&gt;"Completed"),"Open activity overdue by 1-7 days",""))))</x:f>
      </x:c>
    </x:row>
    <x:row r="263">
      <x:c r="A263" s="84" t="str">
        <x:v>ACT-0259</x:v>
      </x:c>
      <x:c r="B263" s="85" t="str">
        <x:v>Construction</x:v>
      </x:c>
      <x:c r="C263" s="85" t="str">
        <x:v>CONST-A</x:v>
      </x:c>
      <x:c r="D263" s="85" t="str">
        <x:v>Field Installation</x:v>
      </x:c>
      <x:c r="E263" s="86" t="n">
        <x:v>46208</x:v>
      </x:c>
      <x:c r="F263" s="86" t="n">
        <x:v>46235</x:v>
      </x:c>
      <x:c r="G263" s="86" t="n">
        <x:v>46247</x:v>
      </x:c>
      <x:c r="H263" s="85" t="str">
        <x:v>Completed</x:v>
      </x:c>
      <x:c r="I263" s="85" t="str">
        <x:v>Low</x:v>
      </x:c>
      <x:c r="J263" s="87" t="n">
        <x:v>100</x:v>
      </x:c>
      <x:c r="K263" s="85" t="str">
        <x:v>Manpower</x:v>
      </x:c>
      <x:c r="L263" s="86" t="n">
        <x:v>46247</x:v>
      </x:c>
      <x:c r="M263" s="85" t="str">
        <x:v>Team Lead D</x:v>
      </x:c>
      <x:c r="N263" s="88" t="n">
        <x:f>IF(AND(H263&lt;&gt;"Completed",F263&lt;'Summary'!$B$3),'Summary'!$B$3-F263,0)</x:f>
        <x:v>0</x:v>
      </x:c>
      <x:c r="O263" s="88" t="n">
        <x:f>'Summary'!$B$3-L263</x:f>
        <x:v>19</x:v>
      </x:c>
      <x:c r="P263" s="88" t="n">
        <x:f>IF(AND(H263="Completed",G263&lt;&gt;"",F263&lt;&gt;""),G263-F263,"")</x:f>
        <x:v>12</x:v>
      </x:c>
      <x:c r="Q263" s="89" t="str">
        <x:f>IF(OR(H263="On Hold",AND(I263="High",N263&gt;7,H263&lt;&gt;"Completed")),"Critical",IF(OR(AND(N263&gt;=1,N263&lt;=7,H263&lt;&gt;"Completed"),AND(O263&gt;7,H263&lt;&gt;"Completed")),"Warning","Normal"))</x:f>
        <x:v>Normal</x:v>
      </x:c>
      <x:c r="R263" s="90" t="str">
        <x:f>IF(AND(I263="High",N263&gt;7,H263&lt;&gt;"Completed"),"High-priority activity overdue by more than 7 days",IF(H263="On Hold","Activity is on hold",IF(AND(O263&gt;7,H263&lt;&gt;"Completed"),"Open activity has a stale update (&gt;7 days)",IF(AND(N263&gt;=1,N263&lt;=7,H263&lt;&gt;"Completed"),"Open activity overdue by 1-7 days",""))))</x:f>
      </x:c>
    </x:row>
    <x:row r="264">
      <x:c r="A264" s="84" t="str">
        <x:v>ACT-0260</x:v>
      </x:c>
      <x:c r="B264" s="85" t="str">
        <x:v>Construction</x:v>
      </x:c>
      <x:c r="C264" s="85" t="str">
        <x:v>CONST-B</x:v>
      </x:c>
      <x:c r="D264" s="85" t="str">
        <x:v>Field Installation</x:v>
      </x:c>
      <x:c r="E264" s="86" t="n">
        <x:v>46257</x:v>
      </x:c>
      <x:c r="F264" s="86" t="n">
        <x:v>46284</x:v>
      </x:c>
      <x:c r="G264" s="86"/>
      <x:c r="H264" s="85" t="str">
        <x:v>In Progress</x:v>
      </x:c>
      <x:c r="I264" s="85" t="str">
        <x:v>Low</x:v>
      </x:c>
      <x:c r="J264" s="87" t="n">
        <x:v>25</x:v>
      </x:c>
      <x:c r="K264" s="85" t="str">
        <x:v>None</x:v>
      </x:c>
      <x:c r="L264" s="86" t="n">
        <x:v>46259</x:v>
      </x:c>
      <x:c r="M264" s="85" t="str">
        <x:v>Team Lead A</x:v>
      </x:c>
      <x:c r="N264" s="88" t="n">
        <x:f>IF(AND(H264&lt;&gt;"Completed",F264&lt;'Summary'!$B$3),'Summary'!$B$3-F264,0)</x:f>
        <x:v>0</x:v>
      </x:c>
      <x:c r="O264" s="88" t="n">
        <x:f>'Summary'!$B$3-L264</x:f>
        <x:v>7</x:v>
      </x:c>
      <x:c r="P264" s="88" t="str">
        <x:f>IF(AND(H264="Completed",G264&lt;&gt;"",F264&lt;&gt;""),G264-F264,"")</x:f>
      </x:c>
      <x:c r="Q264" s="89" t="str">
        <x:f>IF(OR(H264="On Hold",AND(I264="High",N264&gt;7,H264&lt;&gt;"Completed")),"Critical",IF(OR(AND(N264&gt;=1,N264&lt;=7,H264&lt;&gt;"Completed"),AND(O264&gt;7,H264&lt;&gt;"Completed")),"Warning","Normal"))</x:f>
        <x:v>Normal</x:v>
      </x:c>
      <x:c r="R264" s="90" t="str">
        <x:f>IF(AND(I264="High",N264&gt;7,H264&lt;&gt;"Completed"),"High-priority activity overdue by more than 7 days",IF(H264="On Hold","Activity is on hold",IF(AND(O264&gt;7,H264&lt;&gt;"Completed"),"Open activity has a stale update (&gt;7 days)",IF(AND(N264&gt;=1,N264&lt;=7,H264&lt;&gt;"Completed"),"Open activity overdue by 1-7 days",""))))</x:f>
      </x:c>
    </x:row>
    <x:row r="265">
      <x:c r="A265" s="84" t="str">
        <x:v>ACT-0261</x:v>
      </x:c>
      <x:c r="B265" s="85" t="str">
        <x:v>QA/QC</x:v>
      </x:c>
      <x:c r="C265" s="85" t="str">
        <x:v>QA-A</x:v>
      </x:c>
      <x:c r="D265" s="85" t="str">
        <x:v>Inspection Request</x:v>
      </x:c>
      <x:c r="E265" s="86" t="n">
        <x:v>46200</x:v>
      </x:c>
      <x:c r="F265" s="86" t="n">
        <x:v>46228</x:v>
      </x:c>
      <x:c r="G265" s="86"/>
      <x:c r="H265" s="85" t="str">
        <x:v>In Progress</x:v>
      </x:c>
      <x:c r="I265" s="85" t="str">
        <x:v>Medium</x:v>
      </x:c>
      <x:c r="J265" s="87" t="n">
        <x:v>90</x:v>
      </x:c>
      <x:c r="K265" s="85" t="str">
        <x:v>Manpower</x:v>
      </x:c>
      <x:c r="L265" s="86" t="n">
        <x:v>46257</x:v>
      </x:c>
      <x:c r="M265" s="85" t="str">
        <x:v>Team Lead B</x:v>
      </x:c>
      <x:c r="N265" s="88" t="n">
        <x:f>IF(AND(H265&lt;&gt;"Completed",F265&lt;'Summary'!$B$3),'Summary'!$B$3-F265,0)</x:f>
        <x:v>38</x:v>
      </x:c>
      <x:c r="O265" s="88" t="n">
        <x:f>'Summary'!$B$3-L265</x:f>
        <x:v>9</x:v>
      </x:c>
      <x:c r="P265" s="88" t="str">
        <x:f>IF(AND(H265="Completed",G265&lt;&gt;"",F265&lt;&gt;""),G265-F265,"")</x:f>
      </x:c>
      <x:c r="Q265" s="89" t="str">
        <x:f>IF(OR(H265="On Hold",AND(I265="High",N265&gt;7,H265&lt;&gt;"Completed")),"Critical",IF(OR(AND(N265&gt;=1,N265&lt;=7,H265&lt;&gt;"Completed"),AND(O265&gt;7,H265&lt;&gt;"Completed")),"Warning","Normal"))</x:f>
        <x:v>Warning</x:v>
      </x:c>
      <x:c r="R265" s="90" t="str">
        <x:f>IF(AND(I265="High",N265&gt;7,H265&lt;&gt;"Completed"),"High-priority activity overdue by more than 7 days",IF(H265="On Hold","Activity is on hold",IF(AND(O265&gt;7,H265&lt;&gt;"Completed"),"Open activity has a stale update (&gt;7 days)",IF(AND(N265&gt;=1,N265&lt;=7,H265&lt;&gt;"Completed"),"Open activity overdue by 1-7 days",""))))</x:f>
        <x:v>Open activity has a stale update (&gt;7 days)</x:v>
      </x:c>
    </x:row>
    <x:row r="266">
      <x:c r="A266" s="84" t="str">
        <x:v>ACT-0262</x:v>
      </x:c>
      <x:c r="B266" s="85" t="str">
        <x:v>Construction</x:v>
      </x:c>
      <x:c r="C266" s="85" t="str">
        <x:v>CONST-A</x:v>
      </x:c>
      <x:c r="D266" s="85" t="str">
        <x:v>Punch Clearance</x:v>
      </x:c>
      <x:c r="E266" s="86" t="n">
        <x:v>46181</x:v>
      </x:c>
      <x:c r="F266" s="86" t="n">
        <x:v>46202</x:v>
      </x:c>
      <x:c r="G266" s="86" t="n">
        <x:v>46214</x:v>
      </x:c>
      <x:c r="H266" s="85" t="str">
        <x:v>Completed</x:v>
      </x:c>
      <x:c r="I266" s="85" t="str">
        <x:v>Medium</x:v>
      </x:c>
      <x:c r="J266" s="87" t="n">
        <x:v>100</x:v>
      </x:c>
      <x:c r="K266" s="85" t="str">
        <x:v>None</x:v>
      </x:c>
      <x:c r="L266" s="86" t="n">
        <x:v>46213</x:v>
      </x:c>
      <x:c r="M266" s="85" t="str">
        <x:v>Team Lead F</x:v>
      </x:c>
      <x:c r="N266" s="88" t="n">
        <x:f>IF(AND(H266&lt;&gt;"Completed",F266&lt;'Summary'!$B$3),'Summary'!$B$3-F266,0)</x:f>
        <x:v>0</x:v>
      </x:c>
      <x:c r="O266" s="88" t="n">
        <x:f>'Summary'!$B$3-L266</x:f>
        <x:v>53</x:v>
      </x:c>
      <x:c r="P266" s="88" t="n">
        <x:f>IF(AND(H266="Completed",G266&lt;&gt;"",F266&lt;&gt;""),G266-F266,"")</x:f>
        <x:v>12</x:v>
      </x:c>
      <x:c r="Q266" s="89" t="str">
        <x:f>IF(OR(H266="On Hold",AND(I266="High",N266&gt;7,H266&lt;&gt;"Completed")),"Critical",IF(OR(AND(N266&gt;=1,N266&lt;=7,H266&lt;&gt;"Completed"),AND(O266&gt;7,H266&lt;&gt;"Completed")),"Warning","Normal"))</x:f>
        <x:v>Normal</x:v>
      </x:c>
      <x:c r="R266" s="90" t="str">
        <x:f>IF(AND(I266="High",N266&gt;7,H266&lt;&gt;"Completed"),"High-priority activity overdue by more than 7 days",IF(H266="On Hold","Activity is on hold",IF(AND(O266&gt;7,H266&lt;&gt;"Completed"),"Open activity has a stale update (&gt;7 days)",IF(AND(N266&gt;=1,N266&lt;=7,H266&lt;&gt;"Completed"),"Open activity overdue by 1-7 days",""))))</x:f>
      </x:c>
    </x:row>
    <x:row r="267">
      <x:c r="A267" s="84" t="str">
        <x:v>ACT-0263</x:v>
      </x:c>
      <x:c r="B267" s="85" t="str">
        <x:v>QA/QC</x:v>
      </x:c>
      <x:c r="C267" s="85" t="str">
        <x:v>QA-B</x:v>
      </x:c>
      <x:c r="D267" s="85" t="str">
        <x:v>Test Package</x:v>
      </x:c>
      <x:c r="E267" s="86" t="n">
        <x:v>46191</x:v>
      </x:c>
      <x:c r="F267" s="86" t="n">
        <x:v>46218</x:v>
      </x:c>
      <x:c r="G267" s="86"/>
      <x:c r="H267" s="85" t="str">
        <x:v>In Progress</x:v>
      </x:c>
      <x:c r="I267" s="85" t="str">
        <x:v>Low</x:v>
      </x:c>
      <x:c r="J267" s="87" t="n">
        <x:v>55</x:v>
      </x:c>
      <x:c r="K267" s="85" t="str">
        <x:v>Manpower</x:v>
      </x:c>
      <x:c r="L267" s="86" t="n">
        <x:v>46253</x:v>
      </x:c>
      <x:c r="M267" s="85" t="str">
        <x:v>Team Lead F</x:v>
      </x:c>
      <x:c r="N267" s="88" t="n">
        <x:f>IF(AND(H267&lt;&gt;"Completed",F267&lt;'Summary'!$B$3),'Summary'!$B$3-F267,0)</x:f>
        <x:v>48</x:v>
      </x:c>
      <x:c r="O267" s="88" t="n">
        <x:f>'Summary'!$B$3-L267</x:f>
        <x:v>13</x:v>
      </x:c>
      <x:c r="P267" s="88" t="str">
        <x:f>IF(AND(H267="Completed",G267&lt;&gt;"",F267&lt;&gt;""),G267-F267,"")</x:f>
      </x:c>
      <x:c r="Q267" s="89" t="str">
        <x:f>IF(OR(H267="On Hold",AND(I267="High",N267&gt;7,H267&lt;&gt;"Completed")),"Critical",IF(OR(AND(N267&gt;=1,N267&lt;=7,H267&lt;&gt;"Completed"),AND(O267&gt;7,H267&lt;&gt;"Completed")),"Warning","Normal"))</x:f>
        <x:v>Warning</x:v>
      </x:c>
      <x:c r="R267" s="90" t="str">
        <x:f>IF(AND(I267="High",N267&gt;7,H267&lt;&gt;"Completed"),"High-priority activity overdue by more than 7 days",IF(H267="On Hold","Activity is on hold",IF(AND(O267&gt;7,H267&lt;&gt;"Completed"),"Open activity has a stale update (&gt;7 days)",IF(AND(N267&gt;=1,N267&lt;=7,H267&lt;&gt;"Completed"),"Open activity overdue by 1-7 days",""))))</x:f>
        <x:v>Open activity has a stale update (&gt;7 days)</x:v>
      </x:c>
    </x:row>
    <x:row r="268">
      <x:c r="A268" s="84" t="str">
        <x:v>ACT-0264</x:v>
      </x:c>
      <x:c r="B268" s="85" t="str">
        <x:v>Procurement</x:v>
      </x:c>
      <x:c r="C268" s="85" t="str">
        <x:v>PROC-A</x:v>
      </x:c>
      <x:c r="D268" s="85" t="str">
        <x:v>Material Delivery</x:v>
      </x:c>
      <x:c r="E268" s="86" t="n">
        <x:v>46265</x:v>
      </x:c>
      <x:c r="F268" s="86" t="n">
        <x:v>46278</x:v>
      </x:c>
      <x:c r="G268" s="86"/>
      <x:c r="H268" s="85" t="str">
        <x:v>Not Started</x:v>
      </x:c>
      <x:c r="I268" s="85" t="str">
        <x:v>Low</x:v>
      </x:c>
      <x:c r="J268" s="87" t="n">
        <x:v>5</x:v>
      </x:c>
      <x:c r="K268" s="85" t="str">
        <x:v>None</x:v>
      </x:c>
      <x:c r="L268" s="86" t="n">
        <x:v>46248</x:v>
      </x:c>
      <x:c r="M268" s="85" t="str">
        <x:v>Team Lead F</x:v>
      </x:c>
      <x:c r="N268" s="88" t="n">
        <x:f>IF(AND(H268&lt;&gt;"Completed",F268&lt;'Summary'!$B$3),'Summary'!$B$3-F268,0)</x:f>
        <x:v>0</x:v>
      </x:c>
      <x:c r="O268" s="88" t="n">
        <x:f>'Summary'!$B$3-L268</x:f>
        <x:v>18</x:v>
      </x:c>
      <x:c r="P268" s="88" t="str">
        <x:f>IF(AND(H268="Completed",G268&lt;&gt;"",F268&lt;&gt;""),G268-F268,"")</x:f>
      </x:c>
      <x:c r="Q268" s="89" t="str">
        <x:f>IF(OR(H268="On Hold",AND(I268="High",N268&gt;7,H268&lt;&gt;"Completed")),"Critical",IF(OR(AND(N268&gt;=1,N268&lt;=7,H268&lt;&gt;"Completed"),AND(O268&gt;7,H268&lt;&gt;"Completed")),"Warning","Normal"))</x:f>
        <x:v>Warning</x:v>
      </x:c>
      <x:c r="R268" s="90" t="str">
        <x:f>IF(AND(I268="High",N268&gt;7,H268&lt;&gt;"Completed"),"High-priority activity overdue by more than 7 days",IF(H268="On Hold","Activity is on hold",IF(AND(O268&gt;7,H268&lt;&gt;"Completed"),"Open activity has a stale update (&gt;7 days)",IF(AND(N268&gt;=1,N268&lt;=7,H268&lt;&gt;"Completed"),"Open activity overdue by 1-7 days",""))))</x:f>
        <x:v>Open activity has a stale update (&gt;7 days)</x:v>
      </x:c>
    </x:row>
    <x:row r="269">
      <x:c r="A269" s="84" t="str">
        <x:v>ACT-0265</x:v>
      </x:c>
      <x:c r="B269" s="85" t="str">
        <x:v>QA/QC</x:v>
      </x:c>
      <x:c r="C269" s="85" t="str">
        <x:v>QA-B</x:v>
      </x:c>
      <x:c r="D269" s="85" t="str">
        <x:v>Quality Review</x:v>
      </x:c>
      <x:c r="E269" s="86" t="n">
        <x:v>46231</x:v>
      </x:c>
      <x:c r="F269" s="86" t="n">
        <x:v>46236</x:v>
      </x:c>
      <x:c r="G269" s="86" t="n">
        <x:v>46233</x:v>
      </x:c>
      <x:c r="H269" s="85" t="str">
        <x:v>Completed</x:v>
      </x:c>
      <x:c r="I269" s="85" t="str">
        <x:v>Low</x:v>
      </x:c>
      <x:c r="J269" s="87" t="n">
        <x:v>100</x:v>
      </x:c>
      <x:c r="K269" s="85" t="str">
        <x:v>None</x:v>
      </x:c>
      <x:c r="L269" s="86" t="n">
        <x:v>46230</x:v>
      </x:c>
      <x:c r="M269" s="85" t="str">
        <x:v>Team Lead C</x:v>
      </x:c>
      <x:c r="N269" s="88" t="n">
        <x:f>IF(AND(H269&lt;&gt;"Completed",F269&lt;'Summary'!$B$3),'Summary'!$B$3-F269,0)</x:f>
        <x:v>0</x:v>
      </x:c>
      <x:c r="O269" s="88" t="n">
        <x:f>'Summary'!$B$3-L269</x:f>
        <x:v>36</x:v>
      </x:c>
      <x:c r="P269" s="88" t="n">
        <x:f>IF(AND(H269="Completed",G269&lt;&gt;"",F269&lt;&gt;""),G269-F269,"")</x:f>
        <x:v>-3</x:v>
      </x:c>
      <x:c r="Q269" s="89" t="str">
        <x:f>IF(OR(H269="On Hold",AND(I269="High",N269&gt;7,H269&lt;&gt;"Completed")),"Critical",IF(OR(AND(N269&gt;=1,N269&lt;=7,H269&lt;&gt;"Completed"),AND(O269&gt;7,H269&lt;&gt;"Completed")),"Warning","Normal"))</x:f>
        <x:v>Normal</x:v>
      </x:c>
      <x:c r="R269" s="90" t="str">
        <x:f>IF(AND(I269="High",N269&gt;7,H269&lt;&gt;"Completed"),"High-priority activity overdue by more than 7 days",IF(H269="On Hold","Activity is on hold",IF(AND(O269&gt;7,H269&lt;&gt;"Completed"),"Open activity has a stale update (&gt;7 days)",IF(AND(N269&gt;=1,N269&lt;=7,H269&lt;&gt;"Completed"),"Open activity overdue by 1-7 days",""))))</x:f>
      </x:c>
    </x:row>
    <x:row r="270">
      <x:c r="A270" s="84" t="str">
        <x:v>ACT-0266</x:v>
      </x:c>
      <x:c r="B270" s="85" t="str">
        <x:v>Construction</x:v>
      </x:c>
      <x:c r="C270" s="85" t="str">
        <x:v>CONST-B</x:v>
      </x:c>
      <x:c r="D270" s="85" t="str">
        <x:v>Site Preparation</x:v>
      </x:c>
      <x:c r="E270" s="86" t="n">
        <x:v>46236</x:v>
      </x:c>
      <x:c r="F270" s="86" t="n">
        <x:v>46249</x:v>
      </x:c>
      <x:c r="G270" s="86" t="n">
        <x:v>46246</x:v>
      </x:c>
      <x:c r="H270" s="85" t="str">
        <x:v>Completed</x:v>
      </x:c>
      <x:c r="I270" s="85" t="str">
        <x:v>Low</x:v>
      </x:c>
      <x:c r="J270" s="87" t="n">
        <x:v>100</x:v>
      </x:c>
      <x:c r="K270" s="85" t="str">
        <x:v>Approval Delay</x:v>
      </x:c>
      <x:c r="L270" s="86" t="n">
        <x:v>46243</x:v>
      </x:c>
      <x:c r="M270" s="85" t="str">
        <x:v>Team Lead F</x:v>
      </x:c>
      <x:c r="N270" s="88" t="n">
        <x:f>IF(AND(H270&lt;&gt;"Completed",F270&lt;'Summary'!$B$3),'Summary'!$B$3-F270,0)</x:f>
        <x:v>0</x:v>
      </x:c>
      <x:c r="O270" s="88" t="n">
        <x:f>'Summary'!$B$3-L270</x:f>
        <x:v>23</x:v>
      </x:c>
      <x:c r="P270" s="88" t="n">
        <x:f>IF(AND(H270="Completed",G270&lt;&gt;"",F270&lt;&gt;""),G270-F270,"")</x:f>
        <x:v>-3</x:v>
      </x:c>
      <x:c r="Q270" s="89" t="str">
        <x:f>IF(OR(H270="On Hold",AND(I270="High",N270&gt;7,H270&lt;&gt;"Completed")),"Critical",IF(OR(AND(N270&gt;=1,N270&lt;=7,H270&lt;&gt;"Completed"),AND(O270&gt;7,H270&lt;&gt;"Completed")),"Warning","Normal"))</x:f>
        <x:v>Normal</x:v>
      </x:c>
      <x:c r="R270" s="90" t="str">
        <x:f>IF(AND(I270="High",N270&gt;7,H270&lt;&gt;"Completed"),"High-priority activity overdue by more than 7 days",IF(H270="On Hold","Activity is on hold",IF(AND(O270&gt;7,H270&lt;&gt;"Completed"),"Open activity has a stale update (&gt;7 days)",IF(AND(N270&gt;=1,N270&lt;=7,H270&lt;&gt;"Completed"),"Open activity overdue by 1-7 days",""))))</x:f>
      </x:c>
    </x:row>
    <x:row r="271">
      <x:c r="A271" s="84" t="str">
        <x:v>ACT-0267</x:v>
      </x:c>
      <x:c r="B271" s="85" t="str">
        <x:v>QA/QC</x:v>
      </x:c>
      <x:c r="C271" s="85" t="str">
        <x:v>QA-A</x:v>
      </x:c>
      <x:c r="D271" s="85" t="str">
        <x:v>Quality Review</x:v>
      </x:c>
      <x:c r="E271" s="86" t="n">
        <x:v>46201</x:v>
      </x:c>
      <x:c r="F271" s="86" t="n">
        <x:v>46217</x:v>
      </x:c>
      <x:c r="G271" s="86"/>
      <x:c r="H271" s="85" t="str">
        <x:v>In Progress</x:v>
      </x:c>
      <x:c r="I271" s="85" t="str">
        <x:v>Medium</x:v>
      </x:c>
      <x:c r="J271" s="87" t="n">
        <x:v>60</x:v>
      </x:c>
      <x:c r="K271" s="85" t="str">
        <x:v>Approval Delay</x:v>
      </x:c>
      <x:c r="L271" s="86" t="n">
        <x:v>46253</x:v>
      </x:c>
      <x:c r="M271" s="85" t="str">
        <x:v>Team Lead E</x:v>
      </x:c>
      <x:c r="N271" s="88" t="n">
        <x:f>IF(AND(H271&lt;&gt;"Completed",F271&lt;'Summary'!$B$3),'Summary'!$B$3-F271,0)</x:f>
        <x:v>49</x:v>
      </x:c>
      <x:c r="O271" s="88" t="n">
        <x:f>'Summary'!$B$3-L271</x:f>
        <x:v>13</x:v>
      </x:c>
      <x:c r="P271" s="88" t="str">
        <x:f>IF(AND(H271="Completed",G271&lt;&gt;"",F271&lt;&gt;""),G271-F271,"")</x:f>
      </x:c>
      <x:c r="Q271" s="89" t="str">
        <x:f>IF(OR(H271="On Hold",AND(I271="High",N271&gt;7,H271&lt;&gt;"Completed")),"Critical",IF(OR(AND(N271&gt;=1,N271&lt;=7,H271&lt;&gt;"Completed"),AND(O271&gt;7,H271&lt;&gt;"Completed")),"Warning","Normal"))</x:f>
        <x:v>Warning</x:v>
      </x:c>
      <x:c r="R271" s="90" t="str">
        <x:f>IF(AND(I271="High",N271&gt;7,H271&lt;&gt;"Completed"),"High-priority activity overdue by more than 7 days",IF(H271="On Hold","Activity is on hold",IF(AND(O271&gt;7,H271&lt;&gt;"Completed"),"Open activity has a stale update (&gt;7 days)",IF(AND(N271&gt;=1,N271&lt;=7,H271&lt;&gt;"Completed"),"Open activity overdue by 1-7 days",""))))</x:f>
        <x:v>Open activity has a stale update (&gt;7 days)</x:v>
      </x:c>
    </x:row>
    <x:row r="272">
      <x:c r="A272" s="84" t="str">
        <x:v>ACT-0268</x:v>
      </x:c>
      <x:c r="B272" s="85" t="str">
        <x:v>Construction</x:v>
      </x:c>
      <x:c r="C272" s="85" t="str">
        <x:v>CONST-B</x:v>
      </x:c>
      <x:c r="D272" s="85" t="str">
        <x:v>Progress Update</x:v>
      </x:c>
      <x:c r="E272" s="86" t="n">
        <x:v>46261</x:v>
      </x:c>
      <x:c r="F272" s="86" t="n">
        <x:v>46288</x:v>
      </x:c>
      <x:c r="G272" s="86" t="n">
        <x:v>46266</x:v>
      </x:c>
      <x:c r="H272" s="85" t="str">
        <x:v>Completed</x:v>
      </x:c>
      <x:c r="I272" s="85" t="str">
        <x:v>High</x:v>
      </x:c>
      <x:c r="J272" s="87" t="n">
        <x:v>100</x:v>
      </x:c>
      <x:c r="K272" s="85" t="str">
        <x:v>Documentation</x:v>
      </x:c>
      <x:c r="L272" s="86" t="n">
        <x:v>46266</x:v>
      </x:c>
      <x:c r="M272" s="85" t="str">
        <x:v>Team Lead B</x:v>
      </x:c>
      <x:c r="N272" s="88" t="n">
        <x:f>IF(AND(H272&lt;&gt;"Completed",F272&lt;'Summary'!$B$3),'Summary'!$B$3-F272,0)</x:f>
        <x:v>0</x:v>
      </x:c>
      <x:c r="O272" s="88" t="n">
        <x:f>'Summary'!$B$3-L272</x:f>
        <x:v>0</x:v>
      </x:c>
      <x:c r="P272" s="88" t="n">
        <x:f>IF(AND(H272="Completed",G272&lt;&gt;"",F272&lt;&gt;""),G272-F272,"")</x:f>
        <x:v>-22</x:v>
      </x:c>
      <x:c r="Q272" s="89" t="str">
        <x:f>IF(OR(H272="On Hold",AND(I272="High",N272&gt;7,H272&lt;&gt;"Completed")),"Critical",IF(OR(AND(N272&gt;=1,N272&lt;=7,H272&lt;&gt;"Completed"),AND(O272&gt;7,H272&lt;&gt;"Completed")),"Warning","Normal"))</x:f>
        <x:v>Normal</x:v>
      </x:c>
      <x:c r="R272" s="90" t="str">
        <x:f>IF(AND(I272="High",N272&gt;7,H272&lt;&gt;"Completed"),"High-priority activity overdue by more than 7 days",IF(H272="On Hold","Activity is on hold",IF(AND(O272&gt;7,H272&lt;&gt;"Completed"),"Open activity has a stale update (&gt;7 days)",IF(AND(N272&gt;=1,N272&lt;=7,H272&lt;&gt;"Completed"),"Open activity overdue by 1-7 days",""))))</x:f>
      </x:c>
    </x:row>
    <x:row r="273">
      <x:c r="A273" s="84" t="str">
        <x:v>ACT-0269</x:v>
      </x:c>
      <x:c r="B273" s="85" t="str">
        <x:v>QA/QC</x:v>
      </x:c>
      <x:c r="C273" s="85" t="str">
        <x:v>QA-A</x:v>
      </x:c>
      <x:c r="D273" s="85" t="str">
        <x:v>Quality Review</x:v>
      </x:c>
      <x:c r="E273" s="86" t="n">
        <x:v>46199</x:v>
      </x:c>
      <x:c r="F273" s="86" t="n">
        <x:v>46224</x:v>
      </x:c>
      <x:c r="G273" s="86"/>
      <x:c r="H273" s="85" t="str">
        <x:v>In Progress</x:v>
      </x:c>
      <x:c r="I273" s="85" t="str">
        <x:v>Low</x:v>
      </x:c>
      <x:c r="J273" s="87" t="n">
        <x:v>55</x:v>
      </x:c>
      <x:c r="K273" s="85" t="str">
        <x:v>Documentation</x:v>
      </x:c>
      <x:c r="L273" s="86" t="n">
        <x:v>46264</x:v>
      </x:c>
      <x:c r="M273" s="85" t="str">
        <x:v>Team Lead C</x:v>
      </x:c>
      <x:c r="N273" s="88" t="n">
        <x:f>IF(AND(H273&lt;&gt;"Completed",F273&lt;'Summary'!$B$3),'Summary'!$B$3-F273,0)</x:f>
        <x:v>42</x:v>
      </x:c>
      <x:c r="O273" s="88" t="n">
        <x:f>'Summary'!$B$3-L273</x:f>
        <x:v>2</x:v>
      </x:c>
      <x:c r="P273" s="88" t="str">
        <x:f>IF(AND(H273="Completed",G273&lt;&gt;"",F273&lt;&gt;""),G273-F273,"")</x:f>
      </x:c>
      <x:c r="Q273" s="89" t="str">
        <x:f>IF(OR(H273="On Hold",AND(I273="High",N273&gt;7,H273&lt;&gt;"Completed")),"Critical",IF(OR(AND(N273&gt;=1,N273&lt;=7,H273&lt;&gt;"Completed"),AND(O273&gt;7,H273&lt;&gt;"Completed")),"Warning","Normal"))</x:f>
        <x:v>Normal</x:v>
      </x:c>
      <x:c r="R273" s="90" t="str">
        <x:f>IF(AND(I273="High",N273&gt;7,H273&lt;&gt;"Completed"),"High-priority activity overdue by more than 7 days",IF(H273="On Hold","Activity is on hold",IF(AND(O273&gt;7,H273&lt;&gt;"Completed"),"Open activity has a stale update (&gt;7 days)",IF(AND(N273&gt;=1,N273&lt;=7,H273&lt;&gt;"Completed"),"Open activity overdue by 1-7 days",""))))</x:f>
      </x:c>
    </x:row>
    <x:row r="274">
      <x:c r="A274" s="84" t="str">
        <x:v>ACT-0270</x:v>
      </x:c>
      <x:c r="B274" s="85" t="str">
        <x:v>Engineering</x:v>
      </x:c>
      <x:c r="C274" s="85" t="str">
        <x:v>ENG-B</x:v>
      </x:c>
      <x:c r="D274" s="85" t="str">
        <x:v>Technical Query</x:v>
      </x:c>
      <x:c r="E274" s="86" t="n">
        <x:v>46184</x:v>
      </x:c>
      <x:c r="F274" s="86" t="n">
        <x:v>46198</x:v>
      </x:c>
      <x:c r="G274" s="86" t="n">
        <x:v>46194</x:v>
      </x:c>
      <x:c r="H274" s="85" t="str">
        <x:v>Completed</x:v>
      </x:c>
      <x:c r="I274" s="85" t="str">
        <x:v>Medium</x:v>
      </x:c>
      <x:c r="J274" s="87" t="n">
        <x:v>100</x:v>
      </x:c>
      <x:c r="K274" s="85" t="str">
        <x:v>Approval Delay</x:v>
      </x:c>
      <x:c r="L274" s="86" t="n">
        <x:v>46191</x:v>
      </x:c>
      <x:c r="M274" s="85" t="str">
        <x:v>Team Lead F</x:v>
      </x:c>
      <x:c r="N274" s="88" t="n">
        <x:f>IF(AND(H274&lt;&gt;"Completed",F274&lt;'Summary'!$B$3),'Summary'!$B$3-F274,0)</x:f>
        <x:v>0</x:v>
      </x:c>
      <x:c r="O274" s="88" t="n">
        <x:f>'Summary'!$B$3-L274</x:f>
        <x:v>75</x:v>
      </x:c>
      <x:c r="P274" s="88" t="n">
        <x:f>IF(AND(H274="Completed",G274&lt;&gt;"",F274&lt;&gt;""),G274-F274,"")</x:f>
        <x:v>-4</x:v>
      </x:c>
      <x:c r="Q274" s="89" t="str">
        <x:f>IF(OR(H274="On Hold",AND(I274="High",N274&gt;7,H274&lt;&gt;"Completed")),"Critical",IF(OR(AND(N274&gt;=1,N274&lt;=7,H274&lt;&gt;"Completed"),AND(O274&gt;7,H274&lt;&gt;"Completed")),"Warning","Normal"))</x:f>
        <x:v>Normal</x:v>
      </x:c>
      <x:c r="R274" s="90" t="str">
        <x:f>IF(AND(I274="High",N274&gt;7,H274&lt;&gt;"Completed"),"High-priority activity overdue by more than 7 days",IF(H274="On Hold","Activity is on hold",IF(AND(O274&gt;7,H274&lt;&gt;"Completed"),"Open activity has a stale update (&gt;7 days)",IF(AND(N274&gt;=1,N274&lt;=7,H274&lt;&gt;"Completed"),"Open activity overdue by 1-7 days",""))))</x:f>
      </x:c>
    </x:row>
    <x:row r="275">
      <x:c r="A275" s="84" t="str">
        <x:v>ACT-0271</x:v>
      </x:c>
      <x:c r="B275" s="85" t="str">
        <x:v>Construction</x:v>
      </x:c>
      <x:c r="C275" s="85" t="str">
        <x:v>CONST-A</x:v>
      </x:c>
      <x:c r="D275" s="85" t="str">
        <x:v>Site Preparation</x:v>
      </x:c>
      <x:c r="E275" s="86" t="n">
        <x:v>46257</x:v>
      </x:c>
      <x:c r="F275" s="86" t="n">
        <x:v>46262</x:v>
      </x:c>
      <x:c r="G275" s="86"/>
      <x:c r="H275" s="85" t="str">
        <x:v>In Progress</x:v>
      </x:c>
      <x:c r="I275" s="85" t="str">
        <x:v>High</x:v>
      </x:c>
      <x:c r="J275" s="87" t="n">
        <x:v>70</x:v>
      </x:c>
      <x:c r="K275" s="85" t="str">
        <x:v>None</x:v>
      </x:c>
      <x:c r="L275" s="86" t="n">
        <x:v>46265</x:v>
      </x:c>
      <x:c r="M275" s="85" t="str">
        <x:v>Team Lead B</x:v>
      </x:c>
      <x:c r="N275" s="88" t="n">
        <x:f>IF(AND(H275&lt;&gt;"Completed",F275&lt;'Summary'!$B$3),'Summary'!$B$3-F275,0)</x:f>
        <x:v>4</x:v>
      </x:c>
      <x:c r="O275" s="88" t="n">
        <x:f>'Summary'!$B$3-L275</x:f>
        <x:v>1</x:v>
      </x:c>
      <x:c r="P275" s="88" t="str">
        <x:f>IF(AND(H275="Completed",G275&lt;&gt;"",F275&lt;&gt;""),G275-F275,"")</x:f>
      </x:c>
      <x:c r="Q275" s="89" t="str">
        <x:f>IF(OR(H275="On Hold",AND(I275="High",N275&gt;7,H275&lt;&gt;"Completed")),"Critical",IF(OR(AND(N275&gt;=1,N275&lt;=7,H275&lt;&gt;"Completed"),AND(O275&gt;7,H275&lt;&gt;"Completed")),"Warning","Normal"))</x:f>
        <x:v>Warning</x:v>
      </x:c>
      <x:c r="R275" s="90" t="str">
        <x:f>IF(AND(I275="High",N275&gt;7,H275&lt;&gt;"Completed"),"High-priority activity overdue by more than 7 days",IF(H275="On Hold","Activity is on hold",IF(AND(O275&gt;7,H275&lt;&gt;"Completed"),"Open activity has a stale update (&gt;7 days)",IF(AND(N275&gt;=1,N275&lt;=7,H275&lt;&gt;"Completed"),"Open activity overdue by 1-7 days",""))))</x:f>
        <x:v>Open activity overdue by 1-7 days</x:v>
      </x:c>
    </x:row>
    <x:row r="276">
      <x:c r="A276" s="84" t="str">
        <x:v>ACT-0272</x:v>
      </x:c>
      <x:c r="B276" s="85" t="str">
        <x:v>Construction</x:v>
      </x:c>
      <x:c r="C276" s="85" t="str">
        <x:v>CONST-B</x:v>
      </x:c>
      <x:c r="D276" s="85" t="str">
        <x:v>Field Installation</x:v>
      </x:c>
      <x:c r="E276" s="86" t="n">
        <x:v>46175</x:v>
      </x:c>
      <x:c r="F276" s="86" t="n">
        <x:v>46200</x:v>
      </x:c>
      <x:c r="G276" s="86" t="n">
        <x:v>46208</x:v>
      </x:c>
      <x:c r="H276" s="85" t="str">
        <x:v>Completed</x:v>
      </x:c>
      <x:c r="I276" s="85" t="str">
        <x:v>High</x:v>
      </x:c>
      <x:c r="J276" s="87" t="n">
        <x:v>100</x:v>
      </x:c>
      <x:c r="K276" s="85" t="str">
        <x:v>None</x:v>
      </x:c>
      <x:c r="L276" s="86" t="n">
        <x:v>46207</x:v>
      </x:c>
      <x:c r="M276" s="85" t="str">
        <x:v>Team Lead B</x:v>
      </x:c>
      <x:c r="N276" s="88" t="n">
        <x:f>IF(AND(H276&lt;&gt;"Completed",F276&lt;'Summary'!$B$3),'Summary'!$B$3-F276,0)</x:f>
        <x:v>0</x:v>
      </x:c>
      <x:c r="O276" s="88" t="n">
        <x:f>'Summary'!$B$3-L276</x:f>
        <x:v>59</x:v>
      </x:c>
      <x:c r="P276" s="88" t="n">
        <x:f>IF(AND(H276="Completed",G276&lt;&gt;"",F276&lt;&gt;""),G276-F276,"")</x:f>
        <x:v>8</x:v>
      </x:c>
      <x:c r="Q276" s="89" t="str">
        <x:f>IF(OR(H276="On Hold",AND(I276="High",N276&gt;7,H276&lt;&gt;"Completed")),"Critical",IF(OR(AND(N276&gt;=1,N276&lt;=7,H276&lt;&gt;"Completed"),AND(O276&gt;7,H276&lt;&gt;"Completed")),"Warning","Normal"))</x:f>
        <x:v>Normal</x:v>
      </x:c>
      <x:c r="R276" s="90" t="str">
        <x:f>IF(AND(I276="High",N276&gt;7,H276&lt;&gt;"Completed"),"High-priority activity overdue by more than 7 days",IF(H276="On Hold","Activity is on hold",IF(AND(O276&gt;7,H276&lt;&gt;"Completed"),"Open activity has a stale update (&gt;7 days)",IF(AND(N276&gt;=1,N276&lt;=7,H276&lt;&gt;"Completed"),"Open activity overdue by 1-7 days",""))))</x:f>
      </x:c>
    </x:row>
    <x:row r="277">
      <x:c r="A277" s="84" t="str">
        <x:v>ACT-0273</x:v>
      </x:c>
      <x:c r="B277" s="85" t="str">
        <x:v>QA/QC</x:v>
      </x:c>
      <x:c r="C277" s="85" t="str">
        <x:v>QA-A</x:v>
      </x:c>
      <x:c r="D277" s="85" t="str">
        <x:v>Test Package</x:v>
      </x:c>
      <x:c r="E277" s="86" t="n">
        <x:v>46214</x:v>
      </x:c>
      <x:c r="F277" s="86" t="n">
        <x:v>46228</x:v>
      </x:c>
      <x:c r="G277" s="86"/>
      <x:c r="H277" s="85" t="str">
        <x:v>In Progress</x:v>
      </x:c>
      <x:c r="I277" s="85" t="str">
        <x:v>High</x:v>
      </x:c>
      <x:c r="J277" s="87" t="n">
        <x:v>95</x:v>
      </x:c>
      <x:c r="K277" s="85" t="str">
        <x:v>Rework</x:v>
      </x:c>
      <x:c r="L277" s="86" t="n">
        <x:v>46253</x:v>
      </x:c>
      <x:c r="M277" s="85" t="str">
        <x:v>Team Lead B</x:v>
      </x:c>
      <x:c r="N277" s="88" t="n">
        <x:f>IF(AND(H277&lt;&gt;"Completed",F277&lt;'Summary'!$B$3),'Summary'!$B$3-F277,0)</x:f>
        <x:v>38</x:v>
      </x:c>
      <x:c r="O277" s="88" t="n">
        <x:f>'Summary'!$B$3-L277</x:f>
        <x:v>13</x:v>
      </x:c>
      <x:c r="P277" s="88" t="str">
        <x:f>IF(AND(H277="Completed",G277&lt;&gt;"",F277&lt;&gt;""),G277-F277,"")</x:f>
      </x:c>
      <x:c r="Q277" s="89" t="str">
        <x:f>IF(OR(H277="On Hold",AND(I277="High",N277&gt;7,H277&lt;&gt;"Completed")),"Critical",IF(OR(AND(N277&gt;=1,N277&lt;=7,H277&lt;&gt;"Completed"),AND(O277&gt;7,H277&lt;&gt;"Completed")),"Warning","Normal"))</x:f>
        <x:v>Critical</x:v>
      </x:c>
      <x:c r="R277" s="90" t="str">
        <x:f>IF(AND(I277="High",N277&gt;7,H277&lt;&gt;"Completed"),"High-priority activity overdue by more than 7 days",IF(H277="On Hold","Activity is on hold",IF(AND(O277&gt;7,H277&lt;&gt;"Completed"),"Open activity has a stale update (&gt;7 days)",IF(AND(N277&gt;=1,N277&lt;=7,H277&lt;&gt;"Completed"),"Open activity overdue by 1-7 days",""))))</x:f>
        <x:v>High-priority activity overdue by more than 7 days</x:v>
      </x:c>
    </x:row>
    <x:row r="278">
      <x:c r="A278" s="84" t="str">
        <x:v>ACT-0274</x:v>
      </x:c>
      <x:c r="B278" s="85" t="str">
        <x:v>Construction</x:v>
      </x:c>
      <x:c r="C278" s="85" t="str">
        <x:v>CONST-A</x:v>
      </x:c>
      <x:c r="D278" s="85" t="str">
        <x:v>Field Installation</x:v>
      </x:c>
      <x:c r="E278" s="86" t="n">
        <x:v>46241</x:v>
      </x:c>
      <x:c r="F278" s="86" t="n">
        <x:v>46262</x:v>
      </x:c>
      <x:c r="G278" s="86" t="n">
        <x:v>46264</x:v>
      </x:c>
      <x:c r="H278" s="85" t="str">
        <x:v>Completed</x:v>
      </x:c>
      <x:c r="I278" s="85" t="str">
        <x:v>Medium</x:v>
      </x:c>
      <x:c r="J278" s="87" t="n">
        <x:v>100</x:v>
      </x:c>
      <x:c r="K278" s="85" t="str">
        <x:v>Approval Delay</x:v>
      </x:c>
      <x:c r="L278" s="86" t="n">
        <x:v>46263</x:v>
      </x:c>
      <x:c r="M278" s="85" t="str">
        <x:v>Team Lead B</x:v>
      </x:c>
      <x:c r="N278" s="88" t="n">
        <x:f>IF(AND(H278&lt;&gt;"Completed",F278&lt;'Summary'!$B$3),'Summary'!$B$3-F278,0)</x:f>
        <x:v>0</x:v>
      </x:c>
      <x:c r="O278" s="88" t="n">
        <x:f>'Summary'!$B$3-L278</x:f>
        <x:v>3</x:v>
      </x:c>
      <x:c r="P278" s="88" t="n">
        <x:f>IF(AND(H278="Completed",G278&lt;&gt;"",F278&lt;&gt;""),G278-F278,"")</x:f>
        <x:v>2</x:v>
      </x:c>
      <x:c r="Q278" s="89" t="str">
        <x:f>IF(OR(H278="On Hold",AND(I278="High",N278&gt;7,H278&lt;&gt;"Completed")),"Critical",IF(OR(AND(N278&gt;=1,N278&lt;=7,H278&lt;&gt;"Completed"),AND(O278&gt;7,H278&lt;&gt;"Completed")),"Warning","Normal"))</x:f>
        <x:v>Normal</x:v>
      </x:c>
      <x:c r="R278" s="90" t="str">
        <x:f>IF(AND(I278="High",N278&gt;7,H278&lt;&gt;"Completed"),"High-priority activity overdue by more than 7 days",IF(H278="On Hold","Activity is on hold",IF(AND(O278&gt;7,H278&lt;&gt;"Completed"),"Open activity has a stale update (&gt;7 days)",IF(AND(N278&gt;=1,N278&lt;=7,H278&lt;&gt;"Completed"),"Open activity overdue by 1-7 days",""))))</x:f>
      </x:c>
    </x:row>
    <x:row r="279">
      <x:c r="A279" s="84" t="str">
        <x:v>ACT-0275</x:v>
      </x:c>
      <x:c r="B279" s="85" t="str">
        <x:v>Procurement</x:v>
      </x:c>
      <x:c r="C279" s="85" t="str">
        <x:v>PROC-A</x:v>
      </x:c>
      <x:c r="D279" s="85" t="str">
        <x:v>Material Delivery</x:v>
      </x:c>
      <x:c r="E279" s="86" t="n">
        <x:v>46185</x:v>
      </x:c>
      <x:c r="F279" s="86" t="n">
        <x:v>46191</x:v>
      </x:c>
      <x:c r="G279" s="86" t="n">
        <x:v>46198</x:v>
      </x:c>
      <x:c r="H279" s="85" t="str">
        <x:v>Completed</x:v>
      </x:c>
      <x:c r="I279" s="85" t="str">
        <x:v>High</x:v>
      </x:c>
      <x:c r="J279" s="87" t="n">
        <x:v>100</x:v>
      </x:c>
      <x:c r="K279" s="85" t="str">
        <x:v>Access Constraint</x:v>
      </x:c>
      <x:c r="L279" s="86" t="n">
        <x:v>46196</x:v>
      </x:c>
      <x:c r="M279" s="85" t="str">
        <x:v>Team Lead C</x:v>
      </x:c>
      <x:c r="N279" s="88" t="n">
        <x:f>IF(AND(H279&lt;&gt;"Completed",F279&lt;'Summary'!$B$3),'Summary'!$B$3-F279,0)</x:f>
        <x:v>0</x:v>
      </x:c>
      <x:c r="O279" s="88" t="n">
        <x:f>'Summary'!$B$3-L279</x:f>
        <x:v>70</x:v>
      </x:c>
      <x:c r="P279" s="88" t="n">
        <x:f>IF(AND(H279="Completed",G279&lt;&gt;"",F279&lt;&gt;""),G279-F279,"")</x:f>
        <x:v>7</x:v>
      </x:c>
      <x:c r="Q279" s="89" t="str">
        <x:f>IF(OR(H279="On Hold",AND(I279="High",N279&gt;7,H279&lt;&gt;"Completed")),"Critical",IF(OR(AND(N279&gt;=1,N279&lt;=7,H279&lt;&gt;"Completed"),AND(O279&gt;7,H279&lt;&gt;"Completed")),"Warning","Normal"))</x:f>
        <x:v>Normal</x:v>
      </x:c>
      <x:c r="R279" s="90" t="str">
        <x:f>IF(AND(I279="High",N279&gt;7,H279&lt;&gt;"Completed"),"High-priority activity overdue by more than 7 days",IF(H279="On Hold","Activity is on hold",IF(AND(O279&gt;7,H279&lt;&gt;"Completed"),"Open activity has a stale update (&gt;7 days)",IF(AND(N279&gt;=1,N279&lt;=7,H279&lt;&gt;"Completed"),"Open activity overdue by 1-7 days",""))))</x:f>
      </x:c>
    </x:row>
    <x:row r="280">
      <x:c r="A280" s="84" t="str">
        <x:v>ACT-0276</x:v>
      </x:c>
      <x:c r="B280" s="85" t="str">
        <x:v>Project Controls</x:v>
      </x:c>
      <x:c r="C280" s="85" t="str">
        <x:v>PC-A</x:v>
      </x:c>
      <x:c r="D280" s="85" t="str">
        <x:v>Schedule Review</x:v>
      </x:c>
      <x:c r="E280" s="86" t="n">
        <x:v>46256</x:v>
      </x:c>
      <x:c r="F280" s="86" t="n">
        <x:v>46261</x:v>
      </x:c>
      <x:c r="G280" s="86" t="n">
        <x:v>46264</x:v>
      </x:c>
      <x:c r="H280" s="85" t="str">
        <x:v>Completed</x:v>
      </x:c>
      <x:c r="I280" s="85" t="str">
        <x:v>Medium</x:v>
      </x:c>
      <x:c r="J280" s="87" t="n">
        <x:v>100</x:v>
      </x:c>
      <x:c r="K280" s="85" t="str">
        <x:v>Rework</x:v>
      </x:c>
      <x:c r="L280" s="86" t="n">
        <x:v>46264</x:v>
      </x:c>
      <x:c r="M280" s="85" t="str">
        <x:v>Team Lead F</x:v>
      </x:c>
      <x:c r="N280" s="88" t="n">
        <x:f>IF(AND(H280&lt;&gt;"Completed",F280&lt;'Summary'!$B$3),'Summary'!$B$3-F280,0)</x:f>
        <x:v>0</x:v>
      </x:c>
      <x:c r="O280" s="88" t="n">
        <x:f>'Summary'!$B$3-L280</x:f>
        <x:v>2</x:v>
      </x:c>
      <x:c r="P280" s="88" t="n">
        <x:f>IF(AND(H280="Completed",G280&lt;&gt;"",F280&lt;&gt;""),G280-F280,"")</x:f>
        <x:v>3</x:v>
      </x:c>
      <x:c r="Q280" s="89" t="str">
        <x:f>IF(OR(H280="On Hold",AND(I280="High",N280&gt;7,H280&lt;&gt;"Completed")),"Critical",IF(OR(AND(N280&gt;=1,N280&lt;=7,H280&lt;&gt;"Completed"),AND(O280&gt;7,H280&lt;&gt;"Completed")),"Warning","Normal"))</x:f>
        <x:v>Normal</x:v>
      </x:c>
      <x:c r="R280" s="90" t="str">
        <x:f>IF(AND(I280="High",N280&gt;7,H280&lt;&gt;"Completed"),"High-priority activity overdue by more than 7 days",IF(H280="On Hold","Activity is on hold",IF(AND(O280&gt;7,H280&lt;&gt;"Completed"),"Open activity has a stale update (&gt;7 days)",IF(AND(N280&gt;=1,N280&lt;=7,H280&lt;&gt;"Completed"),"Open activity overdue by 1-7 days",""))))</x:f>
      </x:c>
    </x:row>
    <x:row r="281">
      <x:c r="A281" s="84" t="str">
        <x:v>ACT-0277</x:v>
      </x:c>
      <x:c r="B281" s="85" t="str">
        <x:v>Procurement</x:v>
      </x:c>
      <x:c r="C281" s="85" t="str">
        <x:v>PROC-A</x:v>
      </x:c>
      <x:c r="D281" s="85" t="str">
        <x:v>Material Status Update</x:v>
      </x:c>
      <x:c r="E281" s="86" t="n">
        <x:v>46251</x:v>
      </x:c>
      <x:c r="F281" s="86" t="n">
        <x:v>46270</x:v>
      </x:c>
      <x:c r="G281" s="86"/>
      <x:c r="H281" s="85" t="str">
        <x:v>In Progress</x:v>
      </x:c>
      <x:c r="I281" s="85" t="str">
        <x:v>Medium</x:v>
      </x:c>
      <x:c r="J281" s="87" t="n">
        <x:v>85</x:v>
      </x:c>
      <x:c r="K281" s="85" t="str">
        <x:v>Documentation</x:v>
      </x:c>
      <x:c r="L281" s="86" t="n">
        <x:v>46266</x:v>
      </x:c>
      <x:c r="M281" s="85" t="str">
        <x:v>Team Lead B</x:v>
      </x:c>
      <x:c r="N281" s="88" t="n">
        <x:f>IF(AND(H281&lt;&gt;"Completed",F281&lt;'Summary'!$B$3),'Summary'!$B$3-F281,0)</x:f>
        <x:v>0</x:v>
      </x:c>
      <x:c r="O281" s="88" t="n">
        <x:f>'Summary'!$B$3-L281</x:f>
        <x:v>0</x:v>
      </x:c>
      <x:c r="P281" s="88" t="str">
        <x:f>IF(AND(H281="Completed",G281&lt;&gt;"",F281&lt;&gt;""),G281-F281,"")</x:f>
      </x:c>
      <x:c r="Q281" s="89" t="str">
        <x:f>IF(OR(H281="On Hold",AND(I281="High",N281&gt;7,H281&lt;&gt;"Completed")),"Critical",IF(OR(AND(N281&gt;=1,N281&lt;=7,H281&lt;&gt;"Completed"),AND(O281&gt;7,H281&lt;&gt;"Completed")),"Warning","Normal"))</x:f>
        <x:v>Normal</x:v>
      </x:c>
      <x:c r="R281" s="90" t="str">
        <x:f>IF(AND(I281="High",N281&gt;7,H281&lt;&gt;"Completed"),"High-priority activity overdue by more than 7 days",IF(H281="On Hold","Activity is on hold",IF(AND(O281&gt;7,H281&lt;&gt;"Completed"),"Open activity has a stale update (&gt;7 days)",IF(AND(N281&gt;=1,N281&lt;=7,H281&lt;&gt;"Completed"),"Open activity overdue by 1-7 days",""))))</x:f>
      </x:c>
    </x:row>
    <x:row r="282">
      <x:c r="A282" s="84" t="str">
        <x:v>ACT-0278</x:v>
      </x:c>
      <x:c r="B282" s="85" t="str">
        <x:v>Construction</x:v>
      </x:c>
      <x:c r="C282" s="85" t="str">
        <x:v>CONST-A</x:v>
      </x:c>
      <x:c r="D282" s="85" t="str">
        <x:v>Punch Clearance</x:v>
      </x:c>
      <x:c r="E282" s="86" t="n">
        <x:v>46237</x:v>
      </x:c>
      <x:c r="F282" s="86" t="n">
        <x:v>46260</x:v>
      </x:c>
      <x:c r="G282" s="86"/>
      <x:c r="H282" s="85" t="str">
        <x:v>In Progress</x:v>
      </x:c>
      <x:c r="I282" s="85" t="str">
        <x:v>Medium</x:v>
      </x:c>
      <x:c r="J282" s="87" t="n">
        <x:v>25</x:v>
      </x:c>
      <x:c r="K282" s="85" t="str">
        <x:v>Access Constraint</x:v>
      </x:c>
      <x:c r="L282" s="86" t="n">
        <x:v>46261</x:v>
      </x:c>
      <x:c r="M282" s="85" t="str">
        <x:v>Team Lead B</x:v>
      </x:c>
      <x:c r="N282" s="88" t="n">
        <x:f>IF(AND(H282&lt;&gt;"Completed",F282&lt;'Summary'!$B$3),'Summary'!$B$3-F282,0)</x:f>
        <x:v>6</x:v>
      </x:c>
      <x:c r="O282" s="88" t="n">
        <x:f>'Summary'!$B$3-L282</x:f>
        <x:v>5</x:v>
      </x:c>
      <x:c r="P282" s="88" t="str">
        <x:f>IF(AND(H282="Completed",G282&lt;&gt;"",F282&lt;&gt;""),G282-F282,"")</x:f>
      </x:c>
      <x:c r="Q282" s="89" t="str">
        <x:f>IF(OR(H282="On Hold",AND(I282="High",N282&gt;7,H282&lt;&gt;"Completed")),"Critical",IF(OR(AND(N282&gt;=1,N282&lt;=7,H282&lt;&gt;"Completed"),AND(O282&gt;7,H282&lt;&gt;"Completed")),"Warning","Normal"))</x:f>
        <x:v>Warning</x:v>
      </x:c>
      <x:c r="R282" s="90" t="str">
        <x:f>IF(AND(I282="High",N282&gt;7,H282&lt;&gt;"Completed"),"High-priority activity overdue by more than 7 days",IF(H282="On Hold","Activity is on hold",IF(AND(O282&gt;7,H282&lt;&gt;"Completed"),"Open activity has a stale update (&gt;7 days)",IF(AND(N282&gt;=1,N282&lt;=7,H282&lt;&gt;"Completed"),"Open activity overdue by 1-7 days",""))))</x:f>
        <x:v>Open activity overdue by 1-7 days</x:v>
      </x:c>
    </x:row>
    <x:row r="283">
      <x:c r="A283" s="84" t="str">
        <x:v>ACT-0279</x:v>
      </x:c>
      <x:c r="B283" s="85" t="str">
        <x:v>QA/QC</x:v>
      </x:c>
      <x:c r="C283" s="85" t="str">
        <x:v>QA-B</x:v>
      </x:c>
      <x:c r="D283" s="85" t="str">
        <x:v>Punch Clearance</x:v>
      </x:c>
      <x:c r="E283" s="86" t="n">
        <x:v>46243</x:v>
      </x:c>
      <x:c r="F283" s="86" t="n">
        <x:v>46267</x:v>
      </x:c>
      <x:c r="G283" s="86"/>
      <x:c r="H283" s="85" t="str">
        <x:v>In Progress</x:v>
      </x:c>
      <x:c r="I283" s="85" t="str">
        <x:v>Medium</x:v>
      </x:c>
      <x:c r="J283" s="87" t="n">
        <x:v>95</x:v>
      </x:c>
      <x:c r="K283" s="85" t="str">
        <x:v>None</x:v>
      </x:c>
      <x:c r="L283" s="86" t="n">
        <x:v>46265</x:v>
      </x:c>
      <x:c r="M283" s="85" t="str">
        <x:v>Team Lead A</x:v>
      </x:c>
      <x:c r="N283" s="88" t="n">
        <x:f>IF(AND(H283&lt;&gt;"Completed",F283&lt;'Summary'!$B$3),'Summary'!$B$3-F283,0)</x:f>
        <x:v>0</x:v>
      </x:c>
      <x:c r="O283" s="88" t="n">
        <x:f>'Summary'!$B$3-L283</x:f>
        <x:v>1</x:v>
      </x:c>
      <x:c r="P283" s="88" t="str">
        <x:f>IF(AND(H283="Completed",G283&lt;&gt;"",F283&lt;&gt;""),G283-F283,"")</x:f>
      </x:c>
      <x:c r="Q283" s="89" t="str">
        <x:f>IF(OR(H283="On Hold",AND(I283="High",N283&gt;7,H283&lt;&gt;"Completed")),"Critical",IF(OR(AND(N283&gt;=1,N283&lt;=7,H283&lt;&gt;"Completed"),AND(O283&gt;7,H283&lt;&gt;"Completed")),"Warning","Normal"))</x:f>
        <x:v>Normal</x:v>
      </x:c>
      <x:c r="R283" s="90" t="str">
        <x:f>IF(AND(I283="High",N283&gt;7,H283&lt;&gt;"Completed"),"High-priority activity overdue by more than 7 days",IF(H283="On Hold","Activity is on hold",IF(AND(O283&gt;7,H283&lt;&gt;"Completed"),"Open activity has a stale update (&gt;7 days)",IF(AND(N283&gt;=1,N283&lt;=7,H283&lt;&gt;"Completed"),"Open activity overdue by 1-7 days",""))))</x:f>
      </x:c>
    </x:row>
    <x:row r="284">
      <x:c r="A284" s="84" t="str">
        <x:v>ACT-0280</x:v>
      </x:c>
      <x:c r="B284" s="85" t="str">
        <x:v>Engineering</x:v>
      </x:c>
      <x:c r="C284" s="85" t="str">
        <x:v>ENG-A</x:v>
      </x:c>
      <x:c r="D284" s="85" t="str">
        <x:v>Drawing Review</x:v>
      </x:c>
      <x:c r="E284" s="86" t="n">
        <x:v>46181</x:v>
      </x:c>
      <x:c r="F284" s="86" t="n">
        <x:v>46209</x:v>
      </x:c>
      <x:c r="G284" s="86" t="n">
        <x:v>46220</x:v>
      </x:c>
      <x:c r="H284" s="85" t="str">
        <x:v>Completed</x:v>
      </x:c>
      <x:c r="I284" s="85" t="str">
        <x:v>Medium</x:v>
      </x:c>
      <x:c r="J284" s="87" t="n">
        <x:v>100</x:v>
      </x:c>
      <x:c r="K284" s="85" t="str">
        <x:v>None</x:v>
      </x:c>
      <x:c r="L284" s="86" t="n">
        <x:v>46217</x:v>
      </x:c>
      <x:c r="M284" s="85" t="str">
        <x:v>Team Lead D</x:v>
      </x:c>
      <x:c r="N284" s="88" t="n">
        <x:f>IF(AND(H284&lt;&gt;"Completed",F284&lt;'Summary'!$B$3),'Summary'!$B$3-F284,0)</x:f>
        <x:v>0</x:v>
      </x:c>
      <x:c r="O284" s="88" t="n">
        <x:f>'Summary'!$B$3-L284</x:f>
        <x:v>49</x:v>
      </x:c>
      <x:c r="P284" s="88" t="n">
        <x:f>IF(AND(H284="Completed",G284&lt;&gt;"",F284&lt;&gt;""),G284-F284,"")</x:f>
        <x:v>11</x:v>
      </x:c>
      <x:c r="Q284" s="89" t="str">
        <x:f>IF(OR(H284="On Hold",AND(I284="High",N284&gt;7,H284&lt;&gt;"Completed")),"Critical",IF(OR(AND(N284&gt;=1,N284&lt;=7,H284&lt;&gt;"Completed"),AND(O284&gt;7,H284&lt;&gt;"Completed")),"Warning","Normal"))</x:f>
        <x:v>Normal</x:v>
      </x:c>
      <x:c r="R284" s="90" t="str">
        <x:f>IF(AND(I284="High",N284&gt;7,H284&lt;&gt;"Completed"),"High-priority activity overdue by more than 7 days",IF(H284="On Hold","Activity is on hold",IF(AND(O284&gt;7,H284&lt;&gt;"Completed"),"Open activity has a stale update (&gt;7 days)",IF(AND(N284&gt;=1,N284&lt;=7,H284&lt;&gt;"Completed"),"Open activity overdue by 1-7 days",""))))</x:f>
      </x:c>
    </x:row>
    <x:row r="285">
      <x:c r="A285" s="84" t="str">
        <x:v>ACT-0281</x:v>
      </x:c>
      <x:c r="B285" s="85" t="str">
        <x:v>Engineering</x:v>
      </x:c>
      <x:c r="C285" s="85" t="str">
        <x:v>ENG-A</x:v>
      </x:c>
      <x:c r="D285" s="85" t="str">
        <x:v>Technical Query</x:v>
      </x:c>
      <x:c r="E285" s="86" t="n">
        <x:v>46184</x:v>
      </x:c>
      <x:c r="F285" s="86" t="n">
        <x:v>46196</x:v>
      </x:c>
      <x:c r="G285" s="86" t="n">
        <x:v>46195</x:v>
      </x:c>
      <x:c r="H285" s="85" t="str">
        <x:v>Completed</x:v>
      </x:c>
      <x:c r="I285" s="85" t="str">
        <x:v>Low</x:v>
      </x:c>
      <x:c r="J285" s="87" t="n">
        <x:v>100</x:v>
      </x:c>
      <x:c r="K285" s="85" t="str">
        <x:v>None</x:v>
      </x:c>
      <x:c r="L285" s="86" t="n">
        <x:v>46191</x:v>
      </x:c>
      <x:c r="M285" s="85" t="str">
        <x:v>Team Lead E</x:v>
      </x:c>
      <x:c r="N285" s="88" t="n">
        <x:f>IF(AND(H285&lt;&gt;"Completed",F285&lt;'Summary'!$B$3),'Summary'!$B$3-F285,0)</x:f>
        <x:v>0</x:v>
      </x:c>
      <x:c r="O285" s="88" t="n">
        <x:f>'Summary'!$B$3-L285</x:f>
        <x:v>75</x:v>
      </x:c>
      <x:c r="P285" s="88" t="n">
        <x:f>IF(AND(H285="Completed",G285&lt;&gt;"",F285&lt;&gt;""),G285-F285,"")</x:f>
        <x:v>-1</x:v>
      </x:c>
      <x:c r="Q285" s="89" t="str">
        <x:f>IF(OR(H285="On Hold",AND(I285="High",N285&gt;7,H285&lt;&gt;"Completed")),"Critical",IF(OR(AND(N285&gt;=1,N285&lt;=7,H285&lt;&gt;"Completed"),AND(O285&gt;7,H285&lt;&gt;"Completed")),"Warning","Normal"))</x:f>
        <x:v>Normal</x:v>
      </x:c>
      <x:c r="R285" s="90" t="str">
        <x:f>IF(AND(I285="High",N285&gt;7,H285&lt;&gt;"Completed"),"High-priority activity overdue by more than 7 days",IF(H285="On Hold","Activity is on hold",IF(AND(O285&gt;7,H285&lt;&gt;"Completed"),"Open activity has a stale update (&gt;7 days)",IF(AND(N285&gt;=1,N285&lt;=7,H285&lt;&gt;"Completed"),"Open activity overdue by 1-7 days",""))))</x:f>
      </x:c>
    </x:row>
    <x:row r="286">
      <x:c r="A286" s="84" t="str">
        <x:v>ACT-0282</x:v>
      </x:c>
      <x:c r="B286" s="85" t="str">
        <x:v>Construction</x:v>
      </x:c>
      <x:c r="C286" s="85" t="str">
        <x:v>CONST-A</x:v>
      </x:c>
      <x:c r="D286" s="85" t="str">
        <x:v>Progress Update</x:v>
      </x:c>
      <x:c r="E286" s="86" t="n">
        <x:v>46263</x:v>
      </x:c>
      <x:c r="F286" s="86" t="n">
        <x:v>46279</x:v>
      </x:c>
      <x:c r="G286" s="86"/>
      <x:c r="H286" s="85" t="str">
        <x:v>On Hold</x:v>
      </x:c>
      <x:c r="I286" s="85" t="str">
        <x:v>Low</x:v>
      </x:c>
      <x:c r="J286" s="87" t="n">
        <x:v>10</x:v>
      </x:c>
      <x:c r="K286" s="85" t="str">
        <x:v>Approval Delay</x:v>
      </x:c>
      <x:c r="L286" s="86" t="n">
        <x:v>46254</x:v>
      </x:c>
      <x:c r="M286" s="85" t="str">
        <x:v>Team Lead D</x:v>
      </x:c>
      <x:c r="N286" s="88" t="n">
        <x:f>IF(AND(H286&lt;&gt;"Completed",F286&lt;'Summary'!$B$3),'Summary'!$B$3-F286,0)</x:f>
        <x:v>0</x:v>
      </x:c>
      <x:c r="O286" s="88" t="n">
        <x:f>'Summary'!$B$3-L286</x:f>
        <x:v>12</x:v>
      </x:c>
      <x:c r="P286" s="88" t="str">
        <x:f>IF(AND(H286="Completed",G286&lt;&gt;"",F286&lt;&gt;""),G286-F286,"")</x:f>
      </x:c>
      <x:c r="Q286" s="89" t="str">
        <x:f>IF(OR(H286="On Hold",AND(I286="High",N286&gt;7,H286&lt;&gt;"Completed")),"Critical",IF(OR(AND(N286&gt;=1,N286&lt;=7,H286&lt;&gt;"Completed"),AND(O286&gt;7,H286&lt;&gt;"Completed")),"Warning","Normal"))</x:f>
        <x:v>Critical</x:v>
      </x:c>
      <x:c r="R286" s="90" t="str">
        <x:f>IF(AND(I286="High",N286&gt;7,H286&lt;&gt;"Completed"),"High-priority activity overdue by more than 7 days",IF(H286="On Hold","Activity is on hold",IF(AND(O286&gt;7,H286&lt;&gt;"Completed"),"Open activity has a stale update (&gt;7 days)",IF(AND(N286&gt;=1,N286&lt;=7,H286&lt;&gt;"Completed"),"Open activity overdue by 1-7 days",""))))</x:f>
        <x:v>Activity is on hold</x:v>
      </x:c>
    </x:row>
    <x:row r="287">
      <x:c r="A287" s="84" t="str">
        <x:v>ACT-0283</x:v>
      </x:c>
      <x:c r="B287" s="85" t="str">
        <x:v>Engineering</x:v>
      </x:c>
      <x:c r="C287" s="85" t="str">
        <x:v>ENG-A</x:v>
      </x:c>
      <x:c r="D287" s="85" t="str">
        <x:v>Technical Query</x:v>
      </x:c>
      <x:c r="E287" s="86" t="n">
        <x:v>46259</x:v>
      </x:c>
      <x:c r="F287" s="86" t="n">
        <x:v>46285</x:v>
      </x:c>
      <x:c r="G287" s="86"/>
      <x:c r="H287" s="85" t="str">
        <x:v>In Progress</x:v>
      </x:c>
      <x:c r="I287" s="85" t="str">
        <x:v>High</x:v>
      </x:c>
      <x:c r="J287" s="87" t="n">
        <x:v>25</x:v>
      </x:c>
      <x:c r="K287" s="85" t="str">
        <x:v>None</x:v>
      </x:c>
      <x:c r="L287" s="86" t="n">
        <x:v>46255</x:v>
      </x:c>
      <x:c r="M287" s="85" t="str">
        <x:v>Team Lead A</x:v>
      </x:c>
      <x:c r="N287" s="88" t="n">
        <x:f>IF(AND(H287&lt;&gt;"Completed",F287&lt;'Summary'!$B$3),'Summary'!$B$3-F287,0)</x:f>
        <x:v>0</x:v>
      </x:c>
      <x:c r="O287" s="88" t="n">
        <x:f>'Summary'!$B$3-L287</x:f>
        <x:v>11</x:v>
      </x:c>
      <x:c r="P287" s="88" t="str">
        <x:f>IF(AND(H287="Completed",G287&lt;&gt;"",F287&lt;&gt;""),G287-F287,"")</x:f>
      </x:c>
      <x:c r="Q287" s="89" t="str">
        <x:f>IF(OR(H287="On Hold",AND(I287="High",N287&gt;7,H287&lt;&gt;"Completed")),"Critical",IF(OR(AND(N287&gt;=1,N287&lt;=7,H287&lt;&gt;"Completed"),AND(O287&gt;7,H287&lt;&gt;"Completed")),"Warning","Normal"))</x:f>
        <x:v>Warning</x:v>
      </x:c>
      <x:c r="R287" s="90" t="str">
        <x:f>IF(AND(I287="High",N287&gt;7,H287&lt;&gt;"Completed"),"High-priority activity overdue by more than 7 days",IF(H287="On Hold","Activity is on hold",IF(AND(O287&gt;7,H287&lt;&gt;"Completed"),"Open activity has a stale update (&gt;7 days)",IF(AND(N287&gt;=1,N287&lt;=7,H287&lt;&gt;"Completed"),"Open activity overdue by 1-7 days",""))))</x:f>
        <x:v>Open activity has a stale update (&gt;7 days)</x:v>
      </x:c>
    </x:row>
    <x:row r="288">
      <x:c r="A288" s="84" t="str">
        <x:v>ACT-0284</x:v>
      </x:c>
      <x:c r="B288" s="85" t="str">
        <x:v>Engineering</x:v>
      </x:c>
      <x:c r="C288" s="85" t="str">
        <x:v>ENG-B</x:v>
      </x:c>
      <x:c r="D288" s="85" t="str">
        <x:v>Technical Query</x:v>
      </x:c>
      <x:c r="E288" s="86" t="n">
        <x:v>46195</x:v>
      </x:c>
      <x:c r="F288" s="86" t="n">
        <x:v>46209</x:v>
      </x:c>
      <x:c r="G288" s="86" t="n">
        <x:v>46212</x:v>
      </x:c>
      <x:c r="H288" s="85" t="str">
        <x:v>Completed</x:v>
      </x:c>
      <x:c r="I288" s="85" t="str">
        <x:v>Low</x:v>
      </x:c>
      <x:c r="J288" s="87" t="n">
        <x:v>100</x:v>
      </x:c>
      <x:c r="K288" s="85" t="str">
        <x:v>Manpower</x:v>
      </x:c>
      <x:c r="L288" s="86" t="n">
        <x:v>46212</x:v>
      </x:c>
      <x:c r="M288" s="85" t="str">
        <x:v>Team Lead A</x:v>
      </x:c>
      <x:c r="N288" s="88" t="n">
        <x:f>IF(AND(H288&lt;&gt;"Completed",F288&lt;'Summary'!$B$3),'Summary'!$B$3-F288,0)</x:f>
        <x:v>0</x:v>
      </x:c>
      <x:c r="O288" s="88" t="n">
        <x:f>'Summary'!$B$3-L288</x:f>
        <x:v>54</x:v>
      </x:c>
      <x:c r="P288" s="88" t="n">
        <x:f>IF(AND(H288="Completed",G288&lt;&gt;"",F288&lt;&gt;""),G288-F288,"")</x:f>
        <x:v>3</x:v>
      </x:c>
      <x:c r="Q288" s="89" t="str">
        <x:f>IF(OR(H288="On Hold",AND(I288="High",N288&gt;7,H288&lt;&gt;"Completed")),"Critical",IF(OR(AND(N288&gt;=1,N288&lt;=7,H288&lt;&gt;"Completed"),AND(O288&gt;7,H288&lt;&gt;"Completed")),"Warning","Normal"))</x:f>
        <x:v>Normal</x:v>
      </x:c>
      <x:c r="R288" s="90" t="str">
        <x:f>IF(AND(I288="High",N288&gt;7,H288&lt;&gt;"Completed"),"High-priority activity overdue by more than 7 days",IF(H288="On Hold","Activity is on hold",IF(AND(O288&gt;7,H288&lt;&gt;"Completed"),"Open activity has a stale update (&gt;7 days)",IF(AND(N288&gt;=1,N288&lt;=7,H288&lt;&gt;"Completed"),"Open activity overdue by 1-7 days",""))))</x:f>
      </x:c>
    </x:row>
    <x:row r="289">
      <x:c r="A289" s="84" t="str">
        <x:v>ACT-0285</x:v>
      </x:c>
      <x:c r="B289" s="85" t="str">
        <x:v>QA/QC</x:v>
      </x:c>
      <x:c r="C289" s="85" t="str">
        <x:v>QA-B</x:v>
      </x:c>
      <x:c r="D289" s="85" t="str">
        <x:v>Punch Clearance</x:v>
      </x:c>
      <x:c r="E289" s="86" t="n">
        <x:v>46241</x:v>
      </x:c>
      <x:c r="F289" s="86" t="n">
        <x:v>46246</x:v>
      </x:c>
      <x:c r="G289" s="86" t="n">
        <x:v>46243</x:v>
      </x:c>
      <x:c r="H289" s="85" t="str">
        <x:v>Completed</x:v>
      </x:c>
      <x:c r="I289" s="85" t="str">
        <x:v>Low</x:v>
      </x:c>
      <x:c r="J289" s="87" t="n">
        <x:v>100</x:v>
      </x:c>
      <x:c r="K289" s="85" t="str">
        <x:v>None</x:v>
      </x:c>
      <x:c r="L289" s="86" t="n">
        <x:v>46240</x:v>
      </x:c>
      <x:c r="M289" s="85" t="str">
        <x:v>Team Lead C</x:v>
      </x:c>
      <x:c r="N289" s="88" t="n">
        <x:f>IF(AND(H289&lt;&gt;"Completed",F289&lt;'Summary'!$B$3),'Summary'!$B$3-F289,0)</x:f>
        <x:v>0</x:v>
      </x:c>
      <x:c r="O289" s="88" t="n">
        <x:f>'Summary'!$B$3-L289</x:f>
        <x:v>26</x:v>
      </x:c>
      <x:c r="P289" s="88" t="n">
        <x:f>IF(AND(H289="Completed",G289&lt;&gt;"",F289&lt;&gt;""),G289-F289,"")</x:f>
        <x:v>-3</x:v>
      </x:c>
      <x:c r="Q289" s="89" t="str">
        <x:f>IF(OR(H289="On Hold",AND(I289="High",N289&gt;7,H289&lt;&gt;"Completed")),"Critical",IF(OR(AND(N289&gt;=1,N289&lt;=7,H289&lt;&gt;"Completed"),AND(O289&gt;7,H289&lt;&gt;"Completed")),"Warning","Normal"))</x:f>
        <x:v>Normal</x:v>
      </x:c>
      <x:c r="R289" s="90" t="str">
        <x:f>IF(AND(I289="High",N289&gt;7,H289&lt;&gt;"Completed"),"High-priority activity overdue by more than 7 days",IF(H289="On Hold","Activity is on hold",IF(AND(O289&gt;7,H289&lt;&gt;"Completed"),"Open activity has a stale update (&gt;7 days)",IF(AND(N289&gt;=1,N289&lt;=7,H289&lt;&gt;"Completed"),"Open activity overdue by 1-7 days",""))))</x:f>
      </x:c>
    </x:row>
    <x:row r="290">
      <x:c r="A290" s="84" t="str">
        <x:v>ACT-0286</x:v>
      </x:c>
      <x:c r="B290" s="85" t="str">
        <x:v>Engineering</x:v>
      </x:c>
      <x:c r="C290" s="85" t="str">
        <x:v>ENG-A</x:v>
      </x:c>
      <x:c r="D290" s="85" t="str">
        <x:v>Technical Query</x:v>
      </x:c>
      <x:c r="E290" s="86" t="n">
        <x:v>46194</x:v>
      </x:c>
      <x:c r="F290" s="86" t="n">
        <x:v>46205</x:v>
      </x:c>
      <x:c r="G290" s="86"/>
      <x:c r="H290" s="85" t="str">
        <x:v>In Progress</x:v>
      </x:c>
      <x:c r="I290" s="85" t="str">
        <x:v>Low</x:v>
      </x:c>
      <x:c r="J290" s="87" t="n">
        <x:v>85</x:v>
      </x:c>
      <x:c r="K290" s="85" t="str">
        <x:v>None</x:v>
      </x:c>
      <x:c r="L290" s="86" t="n">
        <x:v>46255</x:v>
      </x:c>
      <x:c r="M290" s="85" t="str">
        <x:v>Team Lead F</x:v>
      </x:c>
      <x:c r="N290" s="88" t="n">
        <x:f>IF(AND(H290&lt;&gt;"Completed",F290&lt;'Summary'!$B$3),'Summary'!$B$3-F290,0)</x:f>
        <x:v>61</x:v>
      </x:c>
      <x:c r="O290" s="88" t="n">
        <x:f>'Summary'!$B$3-L290</x:f>
        <x:v>11</x:v>
      </x:c>
      <x:c r="P290" s="88" t="str">
        <x:f>IF(AND(H290="Completed",G290&lt;&gt;"",F290&lt;&gt;""),G290-F290,"")</x:f>
      </x:c>
      <x:c r="Q290" s="89" t="str">
        <x:f>IF(OR(H290="On Hold",AND(I290="High",N290&gt;7,H290&lt;&gt;"Completed")),"Critical",IF(OR(AND(N290&gt;=1,N290&lt;=7,H290&lt;&gt;"Completed"),AND(O290&gt;7,H290&lt;&gt;"Completed")),"Warning","Normal"))</x:f>
        <x:v>Warning</x:v>
      </x:c>
      <x:c r="R290" s="90" t="str">
        <x:f>IF(AND(I290="High",N290&gt;7,H290&lt;&gt;"Completed"),"High-priority activity overdue by more than 7 days",IF(H290="On Hold","Activity is on hold",IF(AND(O290&gt;7,H290&lt;&gt;"Completed"),"Open activity has a stale update (&gt;7 days)",IF(AND(N290&gt;=1,N290&lt;=7,H290&lt;&gt;"Completed"),"Open activity overdue by 1-7 days",""))))</x:f>
        <x:v>Open activity has a stale update (&gt;7 days)</x:v>
      </x:c>
    </x:row>
    <x:row r="291">
      <x:c r="A291" s="84" t="str">
        <x:v>ACT-0287</x:v>
      </x:c>
      <x:c r="B291" s="85" t="str">
        <x:v>Construction</x:v>
      </x:c>
      <x:c r="C291" s="85" t="str">
        <x:v>CONST-A</x:v>
      </x:c>
      <x:c r="D291" s="85" t="str">
        <x:v>Field Installation</x:v>
      </x:c>
      <x:c r="E291" s="86" t="n">
        <x:v>46205</x:v>
      </x:c>
      <x:c r="F291" s="86" t="n">
        <x:v>46209</x:v>
      </x:c>
      <x:c r="G291" s="86" t="n">
        <x:v>46208</x:v>
      </x:c>
      <x:c r="H291" s="85" t="str">
        <x:v>Completed</x:v>
      </x:c>
      <x:c r="I291" s="85" t="str">
        <x:v>Medium</x:v>
      </x:c>
      <x:c r="J291" s="87" t="n">
        <x:v>100</x:v>
      </x:c>
      <x:c r="K291" s="85" t="str">
        <x:v>Documentation</x:v>
      </x:c>
      <x:c r="L291" s="86" t="n">
        <x:v>46207</x:v>
      </x:c>
      <x:c r="M291" s="85" t="str">
        <x:v>Team Lead A</x:v>
      </x:c>
      <x:c r="N291" s="88" t="n">
        <x:f>IF(AND(H291&lt;&gt;"Completed",F291&lt;'Summary'!$B$3),'Summary'!$B$3-F291,0)</x:f>
        <x:v>0</x:v>
      </x:c>
      <x:c r="O291" s="88" t="n">
        <x:f>'Summary'!$B$3-L291</x:f>
        <x:v>59</x:v>
      </x:c>
      <x:c r="P291" s="88" t="n">
        <x:f>IF(AND(H291="Completed",G291&lt;&gt;"",F291&lt;&gt;""),G291-F291,"")</x:f>
        <x:v>-1</x:v>
      </x:c>
      <x:c r="Q291" s="89" t="str">
        <x:f>IF(OR(H291="On Hold",AND(I291="High",N291&gt;7,H291&lt;&gt;"Completed")),"Critical",IF(OR(AND(N291&gt;=1,N291&lt;=7,H291&lt;&gt;"Completed"),AND(O291&gt;7,H291&lt;&gt;"Completed")),"Warning","Normal"))</x:f>
        <x:v>Normal</x:v>
      </x:c>
      <x:c r="R291" s="90" t="str">
        <x:f>IF(AND(I291="High",N291&gt;7,H291&lt;&gt;"Completed"),"High-priority activity overdue by more than 7 days",IF(H291="On Hold","Activity is on hold",IF(AND(O291&gt;7,H291&lt;&gt;"Completed"),"Open activity has a stale update (&gt;7 days)",IF(AND(N291&gt;=1,N291&lt;=7,H291&lt;&gt;"Completed"),"Open activity overdue by 1-7 days",""))))</x:f>
      </x:c>
    </x:row>
    <x:row r="292">
      <x:c r="A292" s="84" t="str">
        <x:v>ACT-0288</x:v>
      </x:c>
      <x:c r="B292" s="85" t="str">
        <x:v>Construction</x:v>
      </x:c>
      <x:c r="C292" s="85" t="str">
        <x:v>CONST-B</x:v>
      </x:c>
      <x:c r="D292" s="85" t="str">
        <x:v>Punch Clearance</x:v>
      </x:c>
      <x:c r="E292" s="86" t="n">
        <x:v>46215</x:v>
      </x:c>
      <x:c r="F292" s="86" t="n">
        <x:v>46225</x:v>
      </x:c>
      <x:c r="G292" s="86" t="n">
        <x:v>46228</x:v>
      </x:c>
      <x:c r="H292" s="85" t="str">
        <x:v>Completed</x:v>
      </x:c>
      <x:c r="I292" s="85" t="str">
        <x:v>Medium</x:v>
      </x:c>
      <x:c r="J292" s="87" t="n">
        <x:v>100</x:v>
      </x:c>
      <x:c r="K292" s="85" t="str">
        <x:v>Approval Delay</x:v>
      </x:c>
      <x:c r="L292" s="86" t="n">
        <x:v>46228</x:v>
      </x:c>
      <x:c r="M292" s="85" t="str">
        <x:v>Team Lead A</x:v>
      </x:c>
      <x:c r="N292" s="88" t="n">
        <x:f>IF(AND(H292&lt;&gt;"Completed",F292&lt;'Summary'!$B$3),'Summary'!$B$3-F292,0)</x:f>
        <x:v>0</x:v>
      </x:c>
      <x:c r="O292" s="88" t="n">
        <x:f>'Summary'!$B$3-L292</x:f>
        <x:v>38</x:v>
      </x:c>
      <x:c r="P292" s="88" t="n">
        <x:f>IF(AND(H292="Completed",G292&lt;&gt;"",F292&lt;&gt;""),G292-F292,"")</x:f>
        <x:v>3</x:v>
      </x:c>
      <x:c r="Q292" s="89" t="str">
        <x:f>IF(OR(H292="On Hold",AND(I292="High",N292&gt;7,H292&lt;&gt;"Completed")),"Critical",IF(OR(AND(N292&gt;=1,N292&lt;=7,H292&lt;&gt;"Completed"),AND(O292&gt;7,H292&lt;&gt;"Completed")),"Warning","Normal"))</x:f>
        <x:v>Normal</x:v>
      </x:c>
      <x:c r="R292" s="90" t="str">
        <x:f>IF(AND(I292="High",N292&gt;7,H292&lt;&gt;"Completed"),"High-priority activity overdue by more than 7 days",IF(H292="On Hold","Activity is on hold",IF(AND(O292&gt;7,H292&lt;&gt;"Completed"),"Open activity has a stale update (&gt;7 days)",IF(AND(N292&gt;=1,N292&lt;=7,H292&lt;&gt;"Completed"),"Open activity overdue by 1-7 days",""))))</x:f>
      </x:c>
    </x:row>
    <x:row r="293">
      <x:c r="A293" s="84" t="str">
        <x:v>ACT-0289</x:v>
      </x:c>
      <x:c r="B293" s="85" t="str">
        <x:v>Construction</x:v>
      </x:c>
      <x:c r="C293" s="85" t="str">
        <x:v>CONST-A</x:v>
      </x:c>
      <x:c r="D293" s="85" t="str">
        <x:v>Punch Clearance</x:v>
      </x:c>
      <x:c r="E293" s="86" t="n">
        <x:v>46202</x:v>
      </x:c>
      <x:c r="F293" s="86" t="n">
        <x:v>46230</x:v>
      </x:c>
      <x:c r="G293" s="86" t="n">
        <x:v>46237</x:v>
      </x:c>
      <x:c r="H293" s="85" t="str">
        <x:v>Completed</x:v>
      </x:c>
      <x:c r="I293" s="85" t="str">
        <x:v>High</x:v>
      </x:c>
      <x:c r="J293" s="87" t="n">
        <x:v>100</x:v>
      </x:c>
      <x:c r="K293" s="85" t="str">
        <x:v>Documentation</x:v>
      </x:c>
      <x:c r="L293" s="86" t="n">
        <x:v>46237</x:v>
      </x:c>
      <x:c r="M293" s="85" t="str">
        <x:v>Team Lead C</x:v>
      </x:c>
      <x:c r="N293" s="88" t="n">
        <x:f>IF(AND(H293&lt;&gt;"Completed",F293&lt;'Summary'!$B$3),'Summary'!$B$3-F293,0)</x:f>
        <x:v>0</x:v>
      </x:c>
      <x:c r="O293" s="88" t="n">
        <x:f>'Summary'!$B$3-L293</x:f>
        <x:v>29</x:v>
      </x:c>
      <x:c r="P293" s="88" t="n">
        <x:f>IF(AND(H293="Completed",G293&lt;&gt;"",F293&lt;&gt;""),G293-F293,"")</x:f>
        <x:v>7</x:v>
      </x:c>
      <x:c r="Q293" s="89" t="str">
        <x:f>IF(OR(H293="On Hold",AND(I293="High",N293&gt;7,H293&lt;&gt;"Completed")),"Critical",IF(OR(AND(N293&gt;=1,N293&lt;=7,H293&lt;&gt;"Completed"),AND(O293&gt;7,H293&lt;&gt;"Completed")),"Warning","Normal"))</x:f>
        <x:v>Normal</x:v>
      </x:c>
      <x:c r="R293" s="90" t="str">
        <x:f>IF(AND(I293="High",N293&gt;7,H293&lt;&gt;"Completed"),"High-priority activity overdue by more than 7 days",IF(H293="On Hold","Activity is on hold",IF(AND(O293&gt;7,H293&lt;&gt;"Completed"),"Open activity has a stale update (&gt;7 days)",IF(AND(N293&gt;=1,N293&lt;=7,H293&lt;&gt;"Completed"),"Open activity overdue by 1-7 days",""))))</x:f>
      </x:c>
    </x:row>
    <x:row r="294">
      <x:c r="A294" s="84" t="str">
        <x:v>ACT-0290</x:v>
      </x:c>
      <x:c r="B294" s="85" t="str">
        <x:v>Project Controls</x:v>
      </x:c>
      <x:c r="C294" s="85" t="str">
        <x:v>PC-A</x:v>
      </x:c>
      <x:c r="D294" s="85" t="str">
        <x:v>Schedule Review</x:v>
      </x:c>
      <x:c r="E294" s="86" t="n">
        <x:v>46185</x:v>
      </x:c>
      <x:c r="F294" s="86" t="n">
        <x:v>46205</x:v>
      </x:c>
      <x:c r="G294" s="86" t="n">
        <x:v>46209</x:v>
      </x:c>
      <x:c r="H294" s="85" t="str">
        <x:v>Completed</x:v>
      </x:c>
      <x:c r="I294" s="85" t="str">
        <x:v>Medium</x:v>
      </x:c>
      <x:c r="J294" s="87" t="n">
        <x:v>100</x:v>
      </x:c>
      <x:c r="K294" s="85" t="str">
        <x:v>Rework</x:v>
      </x:c>
      <x:c r="L294" s="86" t="n">
        <x:v>46205</x:v>
      </x:c>
      <x:c r="M294" s="85" t="str">
        <x:v>Team Lead F</x:v>
      </x:c>
      <x:c r="N294" s="88" t="n">
        <x:f>IF(AND(H294&lt;&gt;"Completed",F294&lt;'Summary'!$B$3),'Summary'!$B$3-F294,0)</x:f>
        <x:v>0</x:v>
      </x:c>
      <x:c r="O294" s="88" t="n">
        <x:f>'Summary'!$B$3-L294</x:f>
        <x:v>61</x:v>
      </x:c>
      <x:c r="P294" s="88" t="n">
        <x:f>IF(AND(H294="Completed",G294&lt;&gt;"",F294&lt;&gt;""),G294-F294,"")</x:f>
        <x:v>4</x:v>
      </x:c>
      <x:c r="Q294" s="89" t="str">
        <x:f>IF(OR(H294="On Hold",AND(I294="High",N294&gt;7,H294&lt;&gt;"Completed")),"Critical",IF(OR(AND(N294&gt;=1,N294&lt;=7,H294&lt;&gt;"Completed"),AND(O294&gt;7,H294&lt;&gt;"Completed")),"Warning","Normal"))</x:f>
        <x:v>Normal</x:v>
      </x:c>
      <x:c r="R294" s="90" t="str">
        <x:f>IF(AND(I294="High",N294&gt;7,H294&lt;&gt;"Completed"),"High-priority activity overdue by more than 7 days",IF(H294="On Hold","Activity is on hold",IF(AND(O294&gt;7,H294&lt;&gt;"Completed"),"Open activity has a stale update (&gt;7 days)",IF(AND(N294&gt;=1,N294&lt;=7,H294&lt;&gt;"Completed"),"Open activity overdue by 1-7 days",""))))</x:f>
      </x:c>
    </x:row>
    <x:row r="295">
      <x:c r="A295" s="84" t="str">
        <x:v>ACT-0291</x:v>
      </x:c>
      <x:c r="B295" s="85" t="str">
        <x:v>Construction</x:v>
      </x:c>
      <x:c r="C295" s="85" t="str">
        <x:v>CONST-B</x:v>
      </x:c>
      <x:c r="D295" s="85" t="str">
        <x:v>Progress Update</x:v>
      </x:c>
      <x:c r="E295" s="86" t="n">
        <x:v>46249</x:v>
      </x:c>
      <x:c r="F295" s="86" t="n">
        <x:v>46267</x:v>
      </x:c>
      <x:c r="G295" s="86"/>
      <x:c r="H295" s="85" t="str">
        <x:v>Not Started</x:v>
      </x:c>
      <x:c r="I295" s="85" t="str">
        <x:v>Low</x:v>
      </x:c>
      <x:c r="J295" s="87" t="n">
        <x:v>10</x:v>
      </x:c>
      <x:c r="K295" s="85" t="str">
        <x:v>None</x:v>
      </x:c>
      <x:c r="L295" s="86" t="n">
        <x:v>46256</x:v>
      </x:c>
      <x:c r="M295" s="85" t="str">
        <x:v>Team Lead D</x:v>
      </x:c>
      <x:c r="N295" s="88" t="n">
        <x:f>IF(AND(H295&lt;&gt;"Completed",F295&lt;'Summary'!$B$3),'Summary'!$B$3-F295,0)</x:f>
        <x:v>0</x:v>
      </x:c>
      <x:c r="O295" s="88" t="n">
        <x:f>'Summary'!$B$3-L295</x:f>
        <x:v>10</x:v>
      </x:c>
      <x:c r="P295" s="88" t="str">
        <x:f>IF(AND(H295="Completed",G295&lt;&gt;"",F295&lt;&gt;""),G295-F295,"")</x:f>
      </x:c>
      <x:c r="Q295" s="89" t="str">
        <x:f>IF(OR(H295="On Hold",AND(I295="High",N295&gt;7,H295&lt;&gt;"Completed")),"Critical",IF(OR(AND(N295&gt;=1,N295&lt;=7,H295&lt;&gt;"Completed"),AND(O295&gt;7,H295&lt;&gt;"Completed")),"Warning","Normal"))</x:f>
        <x:v>Warning</x:v>
      </x:c>
      <x:c r="R295" s="90" t="str">
        <x:f>IF(AND(I295="High",N295&gt;7,H295&lt;&gt;"Completed"),"High-priority activity overdue by more than 7 days",IF(H295="On Hold","Activity is on hold",IF(AND(O295&gt;7,H295&lt;&gt;"Completed"),"Open activity has a stale update (&gt;7 days)",IF(AND(N295&gt;=1,N295&lt;=7,H295&lt;&gt;"Completed"),"Open activity overdue by 1-7 days",""))))</x:f>
        <x:v>Open activity has a stale update (&gt;7 days)</x:v>
      </x:c>
    </x:row>
    <x:row r="296">
      <x:c r="A296" s="84" t="str">
        <x:v>ACT-0292</x:v>
      </x:c>
      <x:c r="B296" s="85" t="str">
        <x:v>Engineering</x:v>
      </x:c>
      <x:c r="C296" s="85" t="str">
        <x:v>ENG-B</x:v>
      </x:c>
      <x:c r="D296" s="85" t="str">
        <x:v>Drawing Review</x:v>
      </x:c>
      <x:c r="E296" s="86" t="n">
        <x:v>46216</x:v>
      </x:c>
      <x:c r="F296" s="86" t="n">
        <x:v>46219</x:v>
      </x:c>
      <x:c r="G296" s="86"/>
      <x:c r="H296" s="85" t="str">
        <x:v>In Progress</x:v>
      </x:c>
      <x:c r="I296" s="85" t="str">
        <x:v>Medium</x:v>
      </x:c>
      <x:c r="J296" s="87" t="n">
        <x:v>90</x:v>
      </x:c>
      <x:c r="K296" s="85" t="str">
        <x:v>Approval Delay</x:v>
      </x:c>
      <x:c r="L296" s="86" t="n">
        <x:v>46255</x:v>
      </x:c>
      <x:c r="M296" s="85" t="str">
        <x:v>Team Lead B</x:v>
      </x:c>
      <x:c r="N296" s="88" t="n">
        <x:f>IF(AND(H296&lt;&gt;"Completed",F296&lt;'Summary'!$B$3),'Summary'!$B$3-F296,0)</x:f>
        <x:v>47</x:v>
      </x:c>
      <x:c r="O296" s="88" t="n">
        <x:f>'Summary'!$B$3-L296</x:f>
        <x:v>11</x:v>
      </x:c>
      <x:c r="P296" s="88" t="str">
        <x:f>IF(AND(H296="Completed",G296&lt;&gt;"",F296&lt;&gt;""),G296-F296,"")</x:f>
      </x:c>
      <x:c r="Q296" s="89" t="str">
        <x:f>IF(OR(H296="On Hold",AND(I296="High",N296&gt;7,H296&lt;&gt;"Completed")),"Critical",IF(OR(AND(N296&gt;=1,N296&lt;=7,H296&lt;&gt;"Completed"),AND(O296&gt;7,H296&lt;&gt;"Completed")),"Warning","Normal"))</x:f>
        <x:v>Warning</x:v>
      </x:c>
      <x:c r="R296" s="90" t="str">
        <x:f>IF(AND(I296="High",N296&gt;7,H296&lt;&gt;"Completed"),"High-priority activity overdue by more than 7 days",IF(H296="On Hold","Activity is on hold",IF(AND(O296&gt;7,H296&lt;&gt;"Completed"),"Open activity has a stale update (&gt;7 days)",IF(AND(N296&gt;=1,N296&lt;=7,H296&lt;&gt;"Completed"),"Open activity overdue by 1-7 days",""))))</x:f>
        <x:v>Open activity has a stale update (&gt;7 days)</x:v>
      </x:c>
    </x:row>
    <x:row r="297">
      <x:c r="A297" s="84" t="str">
        <x:v>ACT-0293</x:v>
      </x:c>
      <x:c r="B297" s="85" t="str">
        <x:v>Construction</x:v>
      </x:c>
      <x:c r="C297" s="85" t="str">
        <x:v>CONST-A</x:v>
      </x:c>
      <x:c r="D297" s="85" t="str">
        <x:v>Site Preparation</x:v>
      </x:c>
      <x:c r="E297" s="86" t="n">
        <x:v>46236</x:v>
      </x:c>
      <x:c r="F297" s="86" t="n">
        <x:v>46240</x:v>
      </x:c>
      <x:c r="G297" s="86"/>
      <x:c r="H297" s="85" t="str">
        <x:v>On Hold</x:v>
      </x:c>
      <x:c r="I297" s="85" t="str">
        <x:v>High</x:v>
      </x:c>
      <x:c r="J297" s="87" t="n">
        <x:v>30</x:v>
      </x:c>
      <x:c r="K297" s="85" t="str">
        <x:v>Approval Delay</x:v>
      </x:c>
      <x:c r="L297" s="86" t="n">
        <x:v>46259</x:v>
      </x:c>
      <x:c r="M297" s="85" t="str">
        <x:v>Team Lead B</x:v>
      </x:c>
      <x:c r="N297" s="88" t="n">
        <x:f>IF(AND(H297&lt;&gt;"Completed",F297&lt;'Summary'!$B$3),'Summary'!$B$3-F297,0)</x:f>
        <x:v>26</x:v>
      </x:c>
      <x:c r="O297" s="88" t="n">
        <x:f>'Summary'!$B$3-L297</x:f>
        <x:v>7</x:v>
      </x:c>
      <x:c r="P297" s="88" t="str">
        <x:f>IF(AND(H297="Completed",G297&lt;&gt;"",F297&lt;&gt;""),G297-F297,"")</x:f>
      </x:c>
      <x:c r="Q297" s="89" t="str">
        <x:f>IF(OR(H297="On Hold",AND(I297="High",N297&gt;7,H297&lt;&gt;"Completed")),"Critical",IF(OR(AND(N297&gt;=1,N297&lt;=7,H297&lt;&gt;"Completed"),AND(O297&gt;7,H297&lt;&gt;"Completed")),"Warning","Normal"))</x:f>
        <x:v>Critical</x:v>
      </x:c>
      <x:c r="R297" s="90" t="str">
        <x:f>IF(AND(I297="High",N297&gt;7,H297&lt;&gt;"Completed"),"High-priority activity overdue by more than 7 days",IF(H297="On Hold","Activity is on hold",IF(AND(O297&gt;7,H297&lt;&gt;"Completed"),"Open activity has a stale update (&gt;7 days)",IF(AND(N297&gt;=1,N297&lt;=7,H297&lt;&gt;"Completed"),"Open activity overdue by 1-7 days",""))))</x:f>
        <x:v>High-priority activity overdue by more than 7 days</x:v>
      </x:c>
    </x:row>
    <x:row r="298">
      <x:c r="A298" s="84" t="str">
        <x:v>ACT-0294</x:v>
      </x:c>
      <x:c r="B298" s="85" t="str">
        <x:v>Procurement</x:v>
      </x:c>
      <x:c r="C298" s="85" t="str">
        <x:v>PROC-A</x:v>
      </x:c>
      <x:c r="D298" s="85" t="str">
        <x:v>Material Status Update</x:v>
      </x:c>
      <x:c r="E298" s="86" t="n">
        <x:v>46221</x:v>
      </x:c>
      <x:c r="F298" s="86" t="n">
        <x:v>46238</x:v>
      </x:c>
      <x:c r="G298" s="86"/>
      <x:c r="H298" s="85" t="str">
        <x:v>On Hold</x:v>
      </x:c>
      <x:c r="I298" s="85" t="str">
        <x:v>High</x:v>
      </x:c>
      <x:c r="J298" s="87" t="n">
        <x:v>10</x:v>
      </x:c>
      <x:c r="K298" s="85" t="str">
        <x:v>Rework</x:v>
      </x:c>
      <x:c r="L298" s="86" t="n">
        <x:v>46257</x:v>
      </x:c>
      <x:c r="M298" s="85" t="str">
        <x:v>Team Lead D</x:v>
      </x:c>
      <x:c r="N298" s="88" t="n">
        <x:f>IF(AND(H298&lt;&gt;"Completed",F298&lt;'Summary'!$B$3),'Summary'!$B$3-F298,0)</x:f>
        <x:v>28</x:v>
      </x:c>
      <x:c r="O298" s="88" t="n">
        <x:f>'Summary'!$B$3-L298</x:f>
        <x:v>9</x:v>
      </x:c>
      <x:c r="P298" s="88" t="str">
        <x:f>IF(AND(H298="Completed",G298&lt;&gt;"",F298&lt;&gt;""),G298-F298,"")</x:f>
      </x:c>
      <x:c r="Q298" s="89" t="str">
        <x:f>IF(OR(H298="On Hold",AND(I298="High",N298&gt;7,H298&lt;&gt;"Completed")),"Critical",IF(OR(AND(N298&gt;=1,N298&lt;=7,H298&lt;&gt;"Completed"),AND(O298&gt;7,H298&lt;&gt;"Completed")),"Warning","Normal"))</x:f>
        <x:v>Critical</x:v>
      </x:c>
      <x:c r="R298" s="90" t="str">
        <x:f>IF(AND(I298="High",N298&gt;7,H298&lt;&gt;"Completed"),"High-priority activity overdue by more than 7 days",IF(H298="On Hold","Activity is on hold",IF(AND(O298&gt;7,H298&lt;&gt;"Completed"),"Open activity has a stale update (&gt;7 days)",IF(AND(N298&gt;=1,N298&lt;=7,H298&lt;&gt;"Completed"),"Open activity overdue by 1-7 days",""))))</x:f>
        <x:v>High-priority activity overdue by more than 7 days</x:v>
      </x:c>
    </x:row>
    <x:row r="299">
      <x:c r="A299" s="84" t="str">
        <x:v>ACT-0295</x:v>
      </x:c>
      <x:c r="B299" s="85" t="str">
        <x:v>Engineering</x:v>
      </x:c>
      <x:c r="C299" s="85" t="str">
        <x:v>ENG-A</x:v>
      </x:c>
      <x:c r="D299" s="85" t="str">
        <x:v>Design Update</x:v>
      </x:c>
      <x:c r="E299" s="86" t="n">
        <x:v>46258</x:v>
      </x:c>
      <x:c r="F299" s="86" t="n">
        <x:v>46265</x:v>
      </x:c>
      <x:c r="G299" s="86" t="n">
        <x:v>46263</x:v>
      </x:c>
      <x:c r="H299" s="85" t="str">
        <x:v>Completed</x:v>
      </x:c>
      <x:c r="I299" s="85" t="str">
        <x:v>Medium</x:v>
      </x:c>
      <x:c r="J299" s="87" t="n">
        <x:v>100</x:v>
      </x:c>
      <x:c r="K299" s="85" t="str">
        <x:v>None</x:v>
      </x:c>
      <x:c r="L299" s="86" t="n">
        <x:v>46261</x:v>
      </x:c>
      <x:c r="M299" s="85" t="str">
        <x:v>Team Lead C</x:v>
      </x:c>
      <x:c r="N299" s="88" t="n">
        <x:f>IF(AND(H299&lt;&gt;"Completed",F299&lt;'Summary'!$B$3),'Summary'!$B$3-F299,0)</x:f>
        <x:v>0</x:v>
      </x:c>
      <x:c r="O299" s="88" t="n">
        <x:f>'Summary'!$B$3-L299</x:f>
        <x:v>5</x:v>
      </x:c>
      <x:c r="P299" s="88" t="n">
        <x:f>IF(AND(H299="Completed",G299&lt;&gt;"",F299&lt;&gt;""),G299-F299,"")</x:f>
        <x:v>-2</x:v>
      </x:c>
      <x:c r="Q299" s="89" t="str">
        <x:f>IF(OR(H299="On Hold",AND(I299="High",N299&gt;7,H299&lt;&gt;"Completed")),"Critical",IF(OR(AND(N299&gt;=1,N299&lt;=7,H299&lt;&gt;"Completed"),AND(O299&gt;7,H299&lt;&gt;"Completed")),"Warning","Normal"))</x:f>
        <x:v>Normal</x:v>
      </x:c>
      <x:c r="R299" s="90" t="str">
        <x:f>IF(AND(I299="High",N299&gt;7,H299&lt;&gt;"Completed"),"High-priority activity overdue by more than 7 days",IF(H299="On Hold","Activity is on hold",IF(AND(O299&gt;7,H299&lt;&gt;"Completed"),"Open activity has a stale update (&gt;7 days)",IF(AND(N299&gt;=1,N299&lt;=7,H299&lt;&gt;"Completed"),"Open activity overdue by 1-7 days",""))))</x:f>
      </x:c>
    </x:row>
    <x:row r="300">
      <x:c r="A300" s="84" t="str">
        <x:v>ACT-0296</x:v>
      </x:c>
      <x:c r="B300" s="85" t="str">
        <x:v>Engineering</x:v>
      </x:c>
      <x:c r="C300" s="85" t="str">
        <x:v>ENG-A</x:v>
      </x:c>
      <x:c r="D300" s="85" t="str">
        <x:v>RFI Closure</x:v>
      </x:c>
      <x:c r="E300" s="86" t="n">
        <x:v>46248</x:v>
      </x:c>
      <x:c r="F300" s="86" t="n">
        <x:v>46254</x:v>
      </x:c>
      <x:c r="G300" s="86" t="n">
        <x:v>46263</x:v>
      </x:c>
      <x:c r="H300" s="85" t="str">
        <x:v>Completed</x:v>
      </x:c>
      <x:c r="I300" s="85" t="str">
        <x:v>High</x:v>
      </x:c>
      <x:c r="J300" s="87" t="n">
        <x:v>100</x:v>
      </x:c>
      <x:c r="K300" s="85" t="str">
        <x:v>None</x:v>
      </x:c>
      <x:c r="L300" s="86" t="n">
        <x:v>46261</x:v>
      </x:c>
      <x:c r="M300" s="85" t="str">
        <x:v>Team Lead E</x:v>
      </x:c>
      <x:c r="N300" s="88" t="n">
        <x:f>IF(AND(H300&lt;&gt;"Completed",F300&lt;'Summary'!$B$3),'Summary'!$B$3-F300,0)</x:f>
        <x:v>0</x:v>
      </x:c>
      <x:c r="O300" s="88" t="n">
        <x:f>'Summary'!$B$3-L300</x:f>
        <x:v>5</x:v>
      </x:c>
      <x:c r="P300" s="88" t="n">
        <x:f>IF(AND(H300="Completed",G300&lt;&gt;"",F300&lt;&gt;""),G300-F300,"")</x:f>
        <x:v>9</x:v>
      </x:c>
      <x:c r="Q300" s="89" t="str">
        <x:f>IF(OR(H300="On Hold",AND(I300="High",N300&gt;7,H300&lt;&gt;"Completed")),"Critical",IF(OR(AND(N300&gt;=1,N300&lt;=7,H300&lt;&gt;"Completed"),AND(O300&gt;7,H300&lt;&gt;"Completed")),"Warning","Normal"))</x:f>
        <x:v>Normal</x:v>
      </x:c>
      <x:c r="R300" s="90" t="str">
        <x:f>IF(AND(I300="High",N300&gt;7,H300&lt;&gt;"Completed"),"High-priority activity overdue by more than 7 days",IF(H300="On Hold","Activity is on hold",IF(AND(O300&gt;7,H300&lt;&gt;"Completed"),"Open activity has a stale update (&gt;7 days)",IF(AND(N300&gt;=1,N300&lt;=7,H300&lt;&gt;"Completed"),"Open activity overdue by 1-7 days",""))))</x:f>
      </x:c>
    </x:row>
    <x:row r="301">
      <x:c r="A301" s="84" t="str">
        <x:v>ACT-0297</x:v>
      </x:c>
      <x:c r="B301" s="85" t="str">
        <x:v>QA/QC</x:v>
      </x:c>
      <x:c r="C301" s="85" t="str">
        <x:v>QA-A</x:v>
      </x:c>
      <x:c r="D301" s="85" t="str">
        <x:v>Quality Review</x:v>
      </x:c>
      <x:c r="E301" s="86" t="n">
        <x:v>46213</x:v>
      </x:c>
      <x:c r="F301" s="86" t="n">
        <x:v>46230</x:v>
      </x:c>
      <x:c r="G301" s="86" t="n">
        <x:v>46230</x:v>
      </x:c>
      <x:c r="H301" s="85" t="str">
        <x:v>Completed</x:v>
      </x:c>
      <x:c r="I301" s="85" t="str">
        <x:v>High</x:v>
      </x:c>
      <x:c r="J301" s="87" t="n">
        <x:v>100</x:v>
      </x:c>
      <x:c r="K301" s="85" t="str">
        <x:v>Rework</x:v>
      </x:c>
      <x:c r="L301" s="86" t="n">
        <x:v>46228</x:v>
      </x:c>
      <x:c r="M301" s="85" t="str">
        <x:v>Team Lead F</x:v>
      </x:c>
      <x:c r="N301" s="88" t="n">
        <x:f>IF(AND(H301&lt;&gt;"Completed",F301&lt;'Summary'!$B$3),'Summary'!$B$3-F301,0)</x:f>
        <x:v>0</x:v>
      </x:c>
      <x:c r="O301" s="88" t="n">
        <x:f>'Summary'!$B$3-L301</x:f>
        <x:v>38</x:v>
      </x:c>
      <x:c r="P301" s="88" t="n">
        <x:f>IF(AND(H301="Completed",G301&lt;&gt;"",F301&lt;&gt;""),G301-F301,"")</x:f>
        <x:v>0</x:v>
      </x:c>
      <x:c r="Q301" s="89" t="str">
        <x:f>IF(OR(H301="On Hold",AND(I301="High",N301&gt;7,H301&lt;&gt;"Completed")),"Critical",IF(OR(AND(N301&gt;=1,N301&lt;=7,H301&lt;&gt;"Completed"),AND(O301&gt;7,H301&lt;&gt;"Completed")),"Warning","Normal"))</x:f>
        <x:v>Normal</x:v>
      </x:c>
      <x:c r="R301" s="90" t="str">
        <x:f>IF(AND(I301="High",N301&gt;7,H301&lt;&gt;"Completed"),"High-priority activity overdue by more than 7 days",IF(H301="On Hold","Activity is on hold",IF(AND(O301&gt;7,H301&lt;&gt;"Completed"),"Open activity has a stale update (&gt;7 days)",IF(AND(N301&gt;=1,N301&lt;=7,H301&lt;&gt;"Completed"),"Open activity overdue by 1-7 days",""))))</x:f>
      </x:c>
    </x:row>
    <x:row r="302">
      <x:c r="A302" s="84" t="str">
        <x:v>ACT-0298</x:v>
      </x:c>
      <x:c r="B302" s="85" t="str">
        <x:v>Construction</x:v>
      </x:c>
      <x:c r="C302" s="85" t="str">
        <x:v>CONST-A</x:v>
      </x:c>
      <x:c r="D302" s="85" t="str">
        <x:v>Progress Update</x:v>
      </x:c>
      <x:c r="E302" s="86" t="n">
        <x:v>46192</x:v>
      </x:c>
      <x:c r="F302" s="86" t="n">
        <x:v>46197</x:v>
      </x:c>
      <x:c r="G302" s="86" t="n">
        <x:v>46204</x:v>
      </x:c>
      <x:c r="H302" s="85" t="str">
        <x:v>Completed</x:v>
      </x:c>
      <x:c r="I302" s="85" t="str">
        <x:v>Low</x:v>
      </x:c>
      <x:c r="J302" s="87" t="n">
        <x:v>100</x:v>
      </x:c>
      <x:c r="K302" s="85" t="str">
        <x:v>None</x:v>
      </x:c>
      <x:c r="L302" s="86" t="n">
        <x:v>46200</x:v>
      </x:c>
      <x:c r="M302" s="85" t="str">
        <x:v>Team Lead C</x:v>
      </x:c>
      <x:c r="N302" s="88" t="n">
        <x:f>IF(AND(H302&lt;&gt;"Completed",F302&lt;'Summary'!$B$3),'Summary'!$B$3-F302,0)</x:f>
        <x:v>0</x:v>
      </x:c>
      <x:c r="O302" s="88" t="n">
        <x:f>'Summary'!$B$3-L302</x:f>
        <x:v>66</x:v>
      </x:c>
      <x:c r="P302" s="88" t="n">
        <x:f>IF(AND(H302="Completed",G302&lt;&gt;"",F302&lt;&gt;""),G302-F302,"")</x:f>
        <x:v>7</x:v>
      </x:c>
      <x:c r="Q302" s="89" t="str">
        <x:f>IF(OR(H302="On Hold",AND(I302="High",N302&gt;7,H302&lt;&gt;"Completed")),"Critical",IF(OR(AND(N302&gt;=1,N302&lt;=7,H302&lt;&gt;"Completed"),AND(O302&gt;7,H302&lt;&gt;"Completed")),"Warning","Normal"))</x:f>
        <x:v>Normal</x:v>
      </x:c>
      <x:c r="R302" s="90" t="str">
        <x:f>IF(AND(I302="High",N302&gt;7,H302&lt;&gt;"Completed"),"High-priority activity overdue by more than 7 days",IF(H302="On Hold","Activity is on hold",IF(AND(O302&gt;7,H302&lt;&gt;"Completed"),"Open activity has a stale update (&gt;7 days)",IF(AND(N302&gt;=1,N302&lt;=7,H302&lt;&gt;"Completed"),"Open activity overdue by 1-7 days",""))))</x:f>
      </x:c>
    </x:row>
    <x:row r="303">
      <x:c r="A303" s="84" t="str">
        <x:v>ACT-0299</x:v>
      </x:c>
      <x:c r="B303" s="85" t="str">
        <x:v>QA/QC</x:v>
      </x:c>
      <x:c r="C303" s="85" t="str">
        <x:v>QA-A</x:v>
      </x:c>
      <x:c r="D303" s="85" t="str">
        <x:v>Test Package</x:v>
      </x:c>
      <x:c r="E303" s="86" t="n">
        <x:v>46225</x:v>
      </x:c>
      <x:c r="F303" s="86" t="n">
        <x:v>46242</x:v>
      </x:c>
      <x:c r="G303" s="86" t="n">
        <x:v>46240</x:v>
      </x:c>
      <x:c r="H303" s="85" t="str">
        <x:v>Completed</x:v>
      </x:c>
      <x:c r="I303" s="85" t="str">
        <x:v>Medium</x:v>
      </x:c>
      <x:c r="J303" s="87" t="n">
        <x:v>100</x:v>
      </x:c>
      <x:c r="K303" s="85" t="str">
        <x:v>None</x:v>
      </x:c>
      <x:c r="L303" s="86" t="n">
        <x:v>46237</x:v>
      </x:c>
      <x:c r="M303" s="85" t="str">
        <x:v>Team Lead B</x:v>
      </x:c>
      <x:c r="N303" s="88" t="n">
        <x:f>IF(AND(H303&lt;&gt;"Completed",F303&lt;'Summary'!$B$3),'Summary'!$B$3-F303,0)</x:f>
        <x:v>0</x:v>
      </x:c>
      <x:c r="O303" s="88" t="n">
        <x:f>'Summary'!$B$3-L303</x:f>
        <x:v>29</x:v>
      </x:c>
      <x:c r="P303" s="88" t="n">
        <x:f>IF(AND(H303="Completed",G303&lt;&gt;"",F303&lt;&gt;""),G303-F303,"")</x:f>
        <x:v>-2</x:v>
      </x:c>
      <x:c r="Q303" s="89" t="str">
        <x:f>IF(OR(H303="On Hold",AND(I303="High",N303&gt;7,H303&lt;&gt;"Completed")),"Critical",IF(OR(AND(N303&gt;=1,N303&lt;=7,H303&lt;&gt;"Completed"),AND(O303&gt;7,H303&lt;&gt;"Completed")),"Warning","Normal"))</x:f>
        <x:v>Normal</x:v>
      </x:c>
      <x:c r="R303" s="90" t="str">
        <x:f>IF(AND(I303="High",N303&gt;7,H303&lt;&gt;"Completed"),"High-priority activity overdue by more than 7 days",IF(H303="On Hold","Activity is on hold",IF(AND(O303&gt;7,H303&lt;&gt;"Completed"),"Open activity has a stale update (&gt;7 days)",IF(AND(N303&gt;=1,N303&lt;=7,H303&lt;&gt;"Completed"),"Open activity overdue by 1-7 days",""))))</x:f>
      </x:c>
    </x:row>
    <x:row r="304">
      <x:c r="A304" s="91" t="str">
        <x:v>ACT-0300</x:v>
      </x:c>
      <x:c r="B304" s="92" t="str">
        <x:v>Engineering</x:v>
      </x:c>
      <x:c r="C304" s="92" t="str">
        <x:v>ENG-A</x:v>
      </x:c>
      <x:c r="D304" s="92" t="str">
        <x:v>RFI Closure</x:v>
      </x:c>
      <x:c r="E304" s="93" t="n">
        <x:v>46190</x:v>
      </x:c>
      <x:c r="F304" s="93" t="n">
        <x:v>46199</x:v>
      </x:c>
      <x:c r="G304" s="93"/>
      <x:c r="H304" s="92" t="str">
        <x:v>In Progress</x:v>
      </x:c>
      <x:c r="I304" s="92" t="str">
        <x:v>Medium</x:v>
      </x:c>
      <x:c r="J304" s="94" t="n">
        <x:v>85</x:v>
      </x:c>
      <x:c r="K304" s="92" t="str">
        <x:v>None</x:v>
      </x:c>
      <x:c r="L304" s="93" t="n">
        <x:v>46256</x:v>
      </x:c>
      <x:c r="M304" s="92" t="str">
        <x:v>Team Lead E</x:v>
      </x:c>
      <x:c r="N304" s="95" t="n">
        <x:f>IF(AND(H304&lt;&gt;"Completed",F304&lt;'Summary'!$B$3),'Summary'!$B$3-F304,0)</x:f>
        <x:v>67</x:v>
      </x:c>
      <x:c r="O304" s="95" t="n">
        <x:f>'Summary'!$B$3-L304</x:f>
        <x:v>10</x:v>
      </x:c>
      <x:c r="P304" s="95" t="str">
        <x:f>IF(AND(H304="Completed",G304&lt;&gt;"",F304&lt;&gt;""),G304-F304,"")</x:f>
      </x:c>
      <x:c r="Q304" s="96" t="str">
        <x:f>IF(OR(H304="On Hold",AND(I304="High",N304&gt;7,H304&lt;&gt;"Completed")),"Critical",IF(OR(AND(N304&gt;=1,N304&lt;=7,H304&lt;&gt;"Completed"),AND(O304&gt;7,H304&lt;&gt;"Completed")),"Warning","Normal"))</x:f>
        <x:v>Warning</x:v>
      </x:c>
      <x:c r="R304" s="97" t="str">
        <x:f>IF(AND(I304="High",N304&gt;7,H304&lt;&gt;"Completed"),"High-priority activity overdue by more than 7 days",IF(H304="On Hold","Activity is on hold",IF(AND(O304&gt;7,H304&lt;&gt;"Completed"),"Open activity has a stale update (&gt;7 days)",IF(AND(N304&gt;=1,N304&lt;=7,H304&lt;&gt;"Completed"),"Open activity overdue by 1-7 days",""))))</x:f>
        <x:v>Open activity has a stale update (&gt;7 days)</x:v>
      </x:c>
    </x:row>
  </x:sheetData>
  <x:mergeCells>
    <x:mergeCell ref="A1:R1"/>
    <x:mergeCell ref="A2:R2"/>
  </x:mergeCells>
  <x:conditionalFormatting sqref="Q5:Q304">
    <x:cfRule type="containsText" dxfId="0" priority="1" operator="containsText" text="Critical"/>
    <x:cfRule type="containsText" dxfId="1" priority="2" operator="containsText" text="Warning"/>
  </x:conditionalFormatting>
  <x:pageMargins left="0.7" right="0.7" top="0.75" bottom="0.75" header="0.3" footer="0.3"/>
  <x:tableParts count="1">
    <x:tablePart xmlns:r="http://schemas.openxmlformats.org/officeDocument/2006/relationships" r:id="R1d2306e76ef140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7" hidden="0" customWidth="1"/>
    <x:col min="11" max="11" width="17" hidden="0" customWidth="1"/>
    <x:col min="12" max="12" width="18" hidden="0" customWidth="1"/>
    <x:col min="13" max="13" width="15" hidden="0" customWidth="1"/>
    <x:col min="14" max="14" width="14" hidden="0" customWidth="1"/>
    <x:col min="15" max="15" width="48" hidden="0" customWidth="1"/>
  </x:cols>
  <x:sheetData>
    <x:row r="1">
      <x:c r="A1" s="77" t="str">
        <x:v>Management Exception Register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</x:row>
    <x:row r="2">
      <x:c r="A2" s="5" t="str">
        <x:v>Prioritized action list generated by the verified Phase 1 pipeline | 34 Critical and 48 Warning activities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4" customHeight="1">
      <x:c r="A4" s="78" t="str">
        <x:v>Activity_ID</x:v>
      </x:c>
      <x:c r="B4" s="78" t="str">
        <x:v>Department</x:v>
      </x:c>
      <x:c r="C4" s="78" t="str">
        <x:v>Responsible_Team</x:v>
      </x:c>
      <x:c r="D4" s="78" t="str">
        <x:v>Activity_Type</x:v>
      </x:c>
      <x:c r="E4" s="78" t="str">
        <x:v>Status</x:v>
      </x:c>
      <x:c r="F4" s="78" t="str">
        <x:v>Priority</x:v>
      </x:c>
      <x:c r="G4" s="78" t="str">
        <x:v>Progress_Pct</x:v>
      </x:c>
      <x:c r="H4" s="78" t="str">
        <x:v>Planned_Finish</x:v>
      </x:c>
      <x:c r="I4" s="78" t="str">
        <x:v>Days_Overdue</x:v>
      </x:c>
      <x:c r="J4" s="78" t="str">
        <x:v>Last_Update_Date</x:v>
      </x:c>
      <x:c r="K4" s="78" t="str">
        <x:v>Update_Age_Days</x:v>
      </x:c>
      <x:c r="L4" s="78" t="str">
        <x:v>Issue_Type</x:v>
      </x:c>
      <x:c r="M4" s="78" t="str">
        <x:v>Owner</x:v>
      </x:c>
      <x:c r="N4" s="78" t="str">
        <x:v>Exception_Level</x:v>
      </x:c>
      <x:c r="O4" s="78" t="str">
        <x:v>Exception_Reason</x:v>
      </x:c>
    </x:row>
    <x:row r="5">
      <x:c r="A5" t="str">
        <x:v>ACT-0222</x:v>
      </x:c>
      <x:c r="B5" t="str">
        <x:v>Procurement</x:v>
      </x:c>
      <x:c r="C5" t="str">
        <x:v>PROC-A</x:v>
      </x:c>
      <x:c r="D5" t="str">
        <x:v>Material Status Update</x:v>
      </x:c>
      <x:c r="E5" t="str">
        <x:v>On Hold</x:v>
      </x:c>
      <x:c r="F5" t="str">
        <x:v>Medium</x:v>
      </x:c>
      <x:c r="G5" s="79" t="n">
        <x:v>70</x:v>
      </x:c>
      <x:c r="H5" s="6" t="n">
        <x:v>46183</x:v>
      </x:c>
      <x:c r="I5" s="79" t="n">
        <x:v>83</x:v>
      </x:c>
      <x:c r="J5" s="6" t="n">
        <x:v>46261</x:v>
      </x:c>
      <x:c r="K5" s="79" t="n">
        <x:v>5</x:v>
      </x:c>
      <x:c r="L5" t="str">
        <x:v>Material Delay</x:v>
      </x:c>
      <x:c r="M5" t="str">
        <x:v>Team Lead F</x:v>
      </x:c>
      <x:c r="N5" t="str">
        <x:v>Critical</x:v>
      </x:c>
      <x:c r="O5" t="str">
        <x:v>Activity is on hold</x:v>
      </x:c>
    </x:row>
    <x:row r="6">
      <x:c r="A6" t="str">
        <x:v>ACT-0018</x:v>
      </x:c>
      <x:c r="B6" t="str">
        <x:v>Engineering</x:v>
      </x:c>
      <x:c r="C6" t="str">
        <x:v>ENG-A</x:v>
      </x:c>
      <x:c r="D6" t="str">
        <x:v>RFI Closure</x:v>
      </x:c>
      <x:c r="E6" t="str">
        <x:v>In Progress</x:v>
      </x:c>
      <x:c r="F6" t="str">
        <x:v>High</x:v>
      </x:c>
      <x:c r="G6" s="79" t="n">
        <x:v>50</x:v>
      </x:c>
      <x:c r="H6" s="6" t="n">
        <x:v>46186</x:v>
      </x:c>
      <x:c r="I6" s="79" t="n">
        <x:v>80</x:v>
      </x:c>
      <x:c r="J6" s="6" t="n">
        <x:v>46262</x:v>
      </x:c>
      <x:c r="K6" s="79" t="n">
        <x:v>4</x:v>
      </x:c>
      <x:c r="L6" t="str">
        <x:v>Manpower</x:v>
      </x:c>
      <x:c r="M6" t="str">
        <x:v>Team Lead B</x:v>
      </x:c>
      <x:c r="N6" t="str">
        <x:v>Critical</x:v>
      </x:c>
      <x:c r="O6" t="str">
        <x:v>High-priority activity overdue by more than 7 days</x:v>
      </x:c>
    </x:row>
    <x:row r="7">
      <x:c r="A7" t="str">
        <x:v>ACT-0063</x:v>
      </x:c>
      <x:c r="B7" t="str">
        <x:v>Project Controls</x:v>
      </x:c>
      <x:c r="C7" t="str">
        <x:v>PC-A</x:v>
      </x:c>
      <x:c r="D7" t="str">
        <x:v>Schedule Review</x:v>
      </x:c>
      <x:c r="E7" t="str">
        <x:v>In Progress</x:v>
      </x:c>
      <x:c r="F7" t="str">
        <x:v>High</x:v>
      </x:c>
      <x:c r="G7" s="79" t="n">
        <x:v>50</x:v>
      </x:c>
      <x:c r="H7" s="6" t="n">
        <x:v>46195</x:v>
      </x:c>
      <x:c r="I7" s="79" t="n">
        <x:v>71</x:v>
      </x:c>
      <x:c r="J7" s="6" t="n">
        <x:v>46261</x:v>
      </x:c>
      <x:c r="K7" s="79" t="n">
        <x:v>5</x:v>
      </x:c>
      <x:c r="L7" t="str">
        <x:v>Documentation</x:v>
      </x:c>
      <x:c r="M7" t="str">
        <x:v>Team Lead C</x:v>
      </x:c>
      <x:c r="N7" t="str">
        <x:v>Critical</x:v>
      </x:c>
      <x:c r="O7" t="str">
        <x:v>High-priority activity overdue by more than 7 days</x:v>
      </x:c>
    </x:row>
    <x:row r="8">
      <x:c r="A8" t="str">
        <x:v>ACT-0139</x:v>
      </x:c>
      <x:c r="B8" t="str">
        <x:v>Engineering</x:v>
      </x:c>
      <x:c r="C8" t="str">
        <x:v>ENG-A</x:v>
      </x:c>
      <x:c r="D8" t="str">
        <x:v>RFI Closure</x:v>
      </x:c>
      <x:c r="E8" t="str">
        <x:v>In Progress</x:v>
      </x:c>
      <x:c r="F8" t="str">
        <x:v>High</x:v>
      </x:c>
      <x:c r="G8" s="79" t="n">
        <x:v>95</x:v>
      </x:c>
      <x:c r="H8" s="6" t="n">
        <x:v>46195</x:v>
      </x:c>
      <x:c r="I8" s="79" t="n">
        <x:v>71</x:v>
      </x:c>
      <x:c r="J8" s="6" t="n">
        <x:v>46258</x:v>
      </x:c>
      <x:c r="K8" s="79" t="n">
        <x:v>8</x:v>
      </x:c>
      <x:c r="L8" t="str">
        <x:v>Documentation</x:v>
      </x:c>
      <x:c r="M8" t="str">
        <x:v>Team Lead E</x:v>
      </x:c>
      <x:c r="N8" t="str">
        <x:v>Critical</x:v>
      </x:c>
      <x:c r="O8" t="str">
        <x:v>High-priority activity overdue by more than 7 days</x:v>
      </x:c>
    </x:row>
    <x:row r="9">
      <x:c r="A9" t="str">
        <x:v>ACT-0077</x:v>
      </x:c>
      <x:c r="B9" t="str">
        <x:v>QA/QC</x:v>
      </x:c>
      <x:c r="C9" t="str">
        <x:v>QA-B</x:v>
      </x:c>
      <x:c r="D9" t="str">
        <x:v>Test Package</x:v>
      </x:c>
      <x:c r="E9" t="str">
        <x:v>On Hold</x:v>
      </x:c>
      <x:c r="F9" t="str">
        <x:v>Low</x:v>
      </x:c>
      <x:c r="G9" s="79" t="n">
        <x:v>50</x:v>
      </x:c>
      <x:c r="H9" s="6" t="n">
        <x:v>46195</x:v>
      </x:c>
      <x:c r="I9" s="79" t="n">
        <x:v>71</x:v>
      </x:c>
      <x:c r="J9" s="6" t="n">
        <x:v>46261</x:v>
      </x:c>
      <x:c r="K9" s="79" t="n">
        <x:v>5</x:v>
      </x:c>
      <x:c r="L9" t="str">
        <x:v>Access Constraint</x:v>
      </x:c>
      <x:c r="M9" t="str">
        <x:v>Team Lead F</x:v>
      </x:c>
      <x:c r="N9" t="str">
        <x:v>Critical</x:v>
      </x:c>
      <x:c r="O9" t="str">
        <x:v>Activity is on hold</x:v>
      </x:c>
    </x:row>
    <x:row r="10">
      <x:c r="A10" t="str">
        <x:v>ACT-0083</x:v>
      </x:c>
      <x:c r="B10" t="str">
        <x:v>Engineering</x:v>
      </x:c>
      <x:c r="C10" t="str">
        <x:v>ENG-A</x:v>
      </x:c>
      <x:c r="D10" t="str">
        <x:v>Design Update</x:v>
      </x:c>
      <x:c r="E10" t="str">
        <x:v>On Hold</x:v>
      </x:c>
      <x:c r="F10" t="str">
        <x:v>Low</x:v>
      </x:c>
      <x:c r="G10" s="79" t="n">
        <x:v>40</x:v>
      </x:c>
      <x:c r="H10" s="6" t="n">
        <x:v>46195</x:v>
      </x:c>
      <x:c r="I10" s="79" t="n">
        <x:v>71</x:v>
      </x:c>
      <x:c r="J10" s="6" t="n">
        <x:v>46258</x:v>
      </x:c>
      <x:c r="K10" s="79" t="n">
        <x:v>8</x:v>
      </x:c>
      <x:c r="L10" t="str">
        <x:v>Rework</x:v>
      </x:c>
      <x:c r="M10" t="str">
        <x:v>Team Lead B</x:v>
      </x:c>
      <x:c r="N10" t="str">
        <x:v>Critical</x:v>
      </x:c>
      <x:c r="O10" t="str">
        <x:v>Activity is on hold</x:v>
      </x:c>
    </x:row>
    <x:row r="11">
      <x:c r="A11" t="str">
        <x:v>ACT-0104</x:v>
      </x:c>
      <x:c r="B11" t="str">
        <x:v>QA/QC</x:v>
      </x:c>
      <x:c r="C11" t="str">
        <x:v>QA-B</x:v>
      </x:c>
      <x:c r="D11" t="str">
        <x:v>Test Package</x:v>
      </x:c>
      <x:c r="E11" t="str">
        <x:v>In Progress</x:v>
      </x:c>
      <x:c r="F11" t="str">
        <x:v>High</x:v>
      </x:c>
      <x:c r="G11" s="79" t="n">
        <x:v>70</x:v>
      </x:c>
      <x:c r="H11" s="6" t="n">
        <x:v>46196</x:v>
      </x:c>
      <x:c r="I11" s="79" t="n">
        <x:v>70</x:v>
      </x:c>
      <x:c r="J11" s="6" t="n">
        <x:v>46261</x:v>
      </x:c>
      <x:c r="K11" s="79" t="n">
        <x:v>5</x:v>
      </x:c>
      <x:c r="L11" t="str">
        <x:v>Rework</x:v>
      </x:c>
      <x:c r="M11" t="str">
        <x:v>Team Lead F</x:v>
      </x:c>
      <x:c r="N11" t="str">
        <x:v>Critical</x:v>
      </x:c>
      <x:c r="O11" t="str">
        <x:v>High-priority activity overdue by more than 7 days</x:v>
      </x:c>
    </x:row>
    <x:row r="12">
      <x:c r="A12" t="str">
        <x:v>ACT-0091</x:v>
      </x:c>
      <x:c r="B12" t="str">
        <x:v>Construction</x:v>
      </x:c>
      <x:c r="C12" t="str">
        <x:v>CONST-B</x:v>
      </x:c>
      <x:c r="D12" t="str">
        <x:v>Punch Clearance</x:v>
      </x:c>
      <x:c r="E12" t="str">
        <x:v>On Hold</x:v>
      </x:c>
      <x:c r="F12" t="str">
        <x:v>Low</x:v>
      </x:c>
      <x:c r="G12" s="79" t="n">
        <x:v>60</x:v>
      </x:c>
      <x:c r="H12" s="6" t="n">
        <x:v>46201</x:v>
      </x:c>
      <x:c r="I12" s="79" t="n">
        <x:v>65</x:v>
      </x:c>
      <x:c r="J12" s="6" t="n">
        <x:v>46258</x:v>
      </x:c>
      <x:c r="K12" s="79" t="n">
        <x:v>8</x:v>
      </x:c>
      <x:c r="L12" t="str">
        <x:v>Manpower</x:v>
      </x:c>
      <x:c r="M12" t="str">
        <x:v>Team Lead F</x:v>
      </x:c>
      <x:c r="N12" t="str">
        <x:v>Critical</x:v>
      </x:c>
      <x:c r="O12" t="str">
        <x:v>Activity is on hold</x:v>
      </x:c>
    </x:row>
    <x:row r="13">
      <x:c r="A13" t="str">
        <x:v>ACT-0206</x:v>
      </x:c>
      <x:c r="B13" t="str">
        <x:v>QA/QC</x:v>
      </x:c>
      <x:c r="C13" t="str">
        <x:v>QA-B</x:v>
      </x:c>
      <x:c r="D13" t="str">
        <x:v>Quality Review</x:v>
      </x:c>
      <x:c r="E13" t="str">
        <x:v>On Hold</x:v>
      </x:c>
      <x:c r="F13" t="str">
        <x:v>Low</x:v>
      </x:c>
      <x:c r="G13" s="79" t="n">
        <x:v>20</x:v>
      </x:c>
      <x:c r="H13" s="6" t="n">
        <x:v>46208</x:v>
      </x:c>
      <x:c r="I13" s="79" t="n">
        <x:v>58</x:v>
      </x:c>
      <x:c r="J13" s="6" t="n">
        <x:v>46250</x:v>
      </x:c>
      <x:c r="K13" s="79" t="n">
        <x:v>16</x:v>
      </x:c>
      <x:c r="L13" t="str">
        <x:v>Approval Delay</x:v>
      </x:c>
      <x:c r="M13" t="str">
        <x:v>Team Lead E</x:v>
      </x:c>
      <x:c r="N13" t="str">
        <x:v>Critical</x:v>
      </x:c>
      <x:c r="O13" t="str">
        <x:v>Activity is on hold</x:v>
      </x:c>
    </x:row>
    <x:row r="14">
      <x:c r="A14" t="str">
        <x:v>ACT-0175</x:v>
      </x:c>
      <x:c r="B14" t="str">
        <x:v>Project Controls</x:v>
      </x:c>
      <x:c r="C14" t="str">
        <x:v>PC-A</x:v>
      </x:c>
      <x:c r="D14" t="str">
        <x:v>Progress Update</x:v>
      </x:c>
      <x:c r="E14" t="str">
        <x:v>On Hold</x:v>
      </x:c>
      <x:c r="F14" t="str">
        <x:v>Medium</x:v>
      </x:c>
      <x:c r="G14" s="79" t="n">
        <x:v>30</x:v>
      </x:c>
      <x:c r="H14" s="6" t="n">
        <x:v>46212</x:v>
      </x:c>
      <x:c r="I14" s="79" t="n">
        <x:v>54</x:v>
      </x:c>
      <x:c r="J14" s="6" t="n">
        <x:v>46246</x:v>
      </x:c>
      <x:c r="K14" s="79" t="n">
        <x:v>20</x:v>
      </x:c>
      <x:c r="L14" t="str">
        <x:v>Approval Delay</x:v>
      </x:c>
      <x:c r="M14" t="str">
        <x:v>Team Lead D</x:v>
      </x:c>
      <x:c r="N14" t="str">
        <x:v>Critical</x:v>
      </x:c>
      <x:c r="O14" t="str">
        <x:v>Activity is on hold</x:v>
      </x:c>
    </x:row>
    <x:row r="15">
      <x:c r="A15" t="str">
        <x:v>ACT-0101</x:v>
      </x:c>
      <x:c r="B15" t="str">
        <x:v>Procurement</x:v>
      </x:c>
      <x:c r="C15" t="str">
        <x:v>PROC-A</x:v>
      </x:c>
      <x:c r="D15" t="str">
        <x:v>Material Status Update</x:v>
      </x:c>
      <x:c r="E15" t="str">
        <x:v>In Progress</x:v>
      </x:c>
      <x:c r="F15" t="str">
        <x:v>High</x:v>
      </x:c>
      <x:c r="G15" s="79" t="n">
        <x:v>75</x:v>
      </x:c>
      <x:c r="H15" s="6" t="n">
        <x:v>46225</x:v>
      </x:c>
      <x:c r="I15" s="79" t="n">
        <x:v>41</x:v>
      </x:c>
      <x:c r="J15" s="6" t="n">
        <x:v>46265</x:v>
      </x:c>
      <x:c r="K15" s="79" t="n">
        <x:v>1</x:v>
      </x:c>
      <x:c r="L15" t="str">
        <x:v>Material Delay</x:v>
      </x:c>
      <x:c r="M15" t="str">
        <x:v>Team Lead F</x:v>
      </x:c>
      <x:c r="N15" t="str">
        <x:v>Critical</x:v>
      </x:c>
      <x:c r="O15" t="str">
        <x:v>High-priority activity overdue by more than 7 days</x:v>
      </x:c>
    </x:row>
    <x:row r="16">
      <x:c r="A16" t="str">
        <x:v>ACT-0106</x:v>
      </x:c>
      <x:c r="B16" t="str">
        <x:v>Engineering</x:v>
      </x:c>
      <x:c r="C16" t="str">
        <x:v>ENG-B</x:v>
      </x:c>
      <x:c r="D16" t="str">
        <x:v>RFI Closure</x:v>
      </x:c>
      <x:c r="E16" t="str">
        <x:v>On Hold</x:v>
      </x:c>
      <x:c r="F16" t="str">
        <x:v>Medium</x:v>
      </x:c>
      <x:c r="G16" s="79" t="n">
        <x:v>60</x:v>
      </x:c>
      <x:c r="H16" s="6" t="n">
        <x:v>46226</x:v>
      </x:c>
      <x:c r="I16" s="79" t="n">
        <x:v>40</x:v>
      </x:c>
      <x:c r="J16" s="6" t="n">
        <x:v>46250</x:v>
      </x:c>
      <x:c r="K16" s="79" t="n">
        <x:v>16</x:v>
      </x:c>
      <x:c r="L16" t="str">
        <x:v>Approval Delay</x:v>
      </x:c>
      <x:c r="M16" t="str">
        <x:v>Team Lead C</x:v>
      </x:c>
      <x:c r="N16" t="str">
        <x:v>Critical</x:v>
      </x:c>
      <x:c r="O16" t="str">
        <x:v>Activity is on hold</x:v>
      </x:c>
    </x:row>
    <x:row r="17">
      <x:c r="A17" t="str">
        <x:v>ACT-0194</x:v>
      </x:c>
      <x:c r="B17" t="str">
        <x:v>Construction</x:v>
      </x:c>
      <x:c r="C17" t="str">
        <x:v>CONST-A</x:v>
      </x:c>
      <x:c r="D17" t="str">
        <x:v>Progress Update</x:v>
      </x:c>
      <x:c r="E17" t="str">
        <x:v>On Hold</x:v>
      </x:c>
      <x:c r="F17" t="str">
        <x:v>Medium</x:v>
      </x:c>
      <x:c r="G17" s="79" t="n">
        <x:v>40</x:v>
      </x:c>
      <x:c r="H17" s="6" t="n">
        <x:v>46227</x:v>
      </x:c>
      <x:c r="I17" s="79" t="n">
        <x:v>39</x:v>
      </x:c>
      <x:c r="J17" s="6" t="n">
        <x:v>46257</x:v>
      </x:c>
      <x:c r="K17" s="79" t="n">
        <x:v>9</x:v>
      </x:c>
      <x:c r="L17" t="str">
        <x:v>Documentation</x:v>
      </x:c>
      <x:c r="M17" t="str">
        <x:v>Team Lead D</x:v>
      </x:c>
      <x:c r="N17" t="str">
        <x:v>Critical</x:v>
      </x:c>
      <x:c r="O17" t="str">
        <x:v>Activity is on hold</x:v>
      </x:c>
    </x:row>
    <x:row r="18">
      <x:c r="A18" t="str">
        <x:v>ACT-0127</x:v>
      </x:c>
      <x:c r="B18" t="str">
        <x:v>Construction</x:v>
      </x:c>
      <x:c r="C18" t="str">
        <x:v>CONST-B</x:v>
      </x:c>
      <x:c r="D18" t="str">
        <x:v>Field Installation</x:v>
      </x:c>
      <x:c r="E18" t="str">
        <x:v>On Hold</x:v>
      </x:c>
      <x:c r="F18" t="str">
        <x:v>High</x:v>
      </x:c>
      <x:c r="G18" s="79" t="n">
        <x:v>50</x:v>
      </x:c>
      <x:c r="H18" s="6" t="n">
        <x:v>46228</x:v>
      </x:c>
      <x:c r="I18" s="79" t="n">
        <x:v>38</x:v>
      </x:c>
      <x:c r="J18" s="6" t="n">
        <x:v>46247</x:v>
      </x:c>
      <x:c r="K18" s="79" t="n">
        <x:v>19</x:v>
      </x:c>
      <x:c r="L18" t="str">
        <x:v>Documentation</x:v>
      </x:c>
      <x:c r="M18" t="str">
        <x:v>Team Lead C</x:v>
      </x:c>
      <x:c r="N18" t="str">
        <x:v>Critical</x:v>
      </x:c>
      <x:c r="O18" t="str">
        <x:v>High-priority activity overdue by more than 7 days</x:v>
      </x:c>
    </x:row>
    <x:row r="19">
      <x:c r="A19" t="str">
        <x:v>ACT-0273</x:v>
      </x:c>
      <x:c r="B19" t="str">
        <x:v>QA/QC</x:v>
      </x:c>
      <x:c r="C19" t="str">
        <x:v>QA-A</x:v>
      </x:c>
      <x:c r="D19" t="str">
        <x:v>Test Package</x:v>
      </x:c>
      <x:c r="E19" t="str">
        <x:v>In Progress</x:v>
      </x:c>
      <x:c r="F19" t="str">
        <x:v>High</x:v>
      </x:c>
      <x:c r="G19" s="79" t="n">
        <x:v>95</x:v>
      </x:c>
      <x:c r="H19" s="6" t="n">
        <x:v>46228</x:v>
      </x:c>
      <x:c r="I19" s="79" t="n">
        <x:v>38</x:v>
      </x:c>
      <x:c r="J19" s="6" t="n">
        <x:v>46253</x:v>
      </x:c>
      <x:c r="K19" s="79" t="n">
        <x:v>13</x:v>
      </x:c>
      <x:c r="L19" t="str">
        <x:v>Rework</x:v>
      </x:c>
      <x:c r="M19" t="str">
        <x:v>Team Lead B</x:v>
      </x:c>
      <x:c r="N19" t="str">
        <x:v>Critical</x:v>
      </x:c>
      <x:c r="O19" t="str">
        <x:v>High-priority activity overdue by more than 7 days</x:v>
      </x:c>
    </x:row>
    <x:row r="20">
      <x:c r="A20" t="str">
        <x:v>ACT-0007</x:v>
      </x:c>
      <x:c r="B20" t="str">
        <x:v>Project Controls</x:v>
      </x:c>
      <x:c r="C20" t="str">
        <x:v>PC-A</x:v>
      </x:c>
      <x:c r="D20" t="str">
        <x:v>Schedule Review</x:v>
      </x:c>
      <x:c r="E20" t="str">
        <x:v>On Hold</x:v>
      </x:c>
      <x:c r="F20" t="str">
        <x:v>Medium</x:v>
      </x:c>
      <x:c r="G20" s="79" t="n">
        <x:v>50</x:v>
      </x:c>
      <x:c r="H20" s="6" t="n">
        <x:v>46233</x:v>
      </x:c>
      <x:c r="I20" s="79" t="n">
        <x:v>33</x:v>
      </x:c>
      <x:c r="J20" s="6" t="n">
        <x:v>46254</x:v>
      </x:c>
      <x:c r="K20" s="79" t="n">
        <x:v>12</x:v>
      </x:c>
      <x:c r="L20" t="str">
        <x:v>Documentation</x:v>
      </x:c>
      <x:c r="M20" t="str">
        <x:v>Team Lead A</x:v>
      </x:c>
      <x:c r="N20" t="str">
        <x:v>Critical</x:v>
      </x:c>
      <x:c r="O20" t="str">
        <x:v>Activity is on hold</x:v>
      </x:c>
    </x:row>
    <x:row r="21">
      <x:c r="A21" t="str">
        <x:v>ACT-0240</x:v>
      </x:c>
      <x:c r="B21" t="str">
        <x:v>Procurement</x:v>
      </x:c>
      <x:c r="C21" t="str">
        <x:v>PROC-A</x:v>
      </x:c>
      <x:c r="D21" t="str">
        <x:v>Vendor Follow-up</x:v>
      </x:c>
      <x:c r="E21" t="str">
        <x:v>On Hold</x:v>
      </x:c>
      <x:c r="F21" t="str">
        <x:v>High</x:v>
      </x:c>
      <x:c r="G21" s="79" t="n">
        <x:v>30</x:v>
      </x:c>
      <x:c r="H21" s="6" t="n">
        <x:v>46237</x:v>
      </x:c>
      <x:c r="I21" s="79" t="n">
        <x:v>29</x:v>
      </x:c>
      <x:c r="J21" s="6" t="n">
        <x:v>46256</x:v>
      </x:c>
      <x:c r="K21" s="79" t="n">
        <x:v>10</x:v>
      </x:c>
      <x:c r="L21" t="str">
        <x:v>Access Constraint</x:v>
      </x:c>
      <x:c r="M21" t="str">
        <x:v>Team Lead C</x:v>
      </x:c>
      <x:c r="N21" t="str">
        <x:v>Critical</x:v>
      </x:c>
      <x:c r="O21" t="str">
        <x:v>High-priority activity overdue by more than 7 days</x:v>
      </x:c>
    </x:row>
    <x:row r="22">
      <x:c r="A22" t="str">
        <x:v>ACT-0294</x:v>
      </x:c>
      <x:c r="B22" t="str">
        <x:v>Procurement</x:v>
      </x:c>
      <x:c r="C22" t="str">
        <x:v>PROC-A</x:v>
      </x:c>
      <x:c r="D22" t="str">
        <x:v>Material Status Update</x:v>
      </x:c>
      <x:c r="E22" t="str">
        <x:v>On Hold</x:v>
      </x:c>
      <x:c r="F22" t="str">
        <x:v>High</x:v>
      </x:c>
      <x:c r="G22" s="79" t="n">
        <x:v>10</x:v>
      </x:c>
      <x:c r="H22" s="6" t="n">
        <x:v>46238</x:v>
      </x:c>
      <x:c r="I22" s="79" t="n">
        <x:v>28</x:v>
      </x:c>
      <x:c r="J22" s="6" t="n">
        <x:v>46257</x:v>
      </x:c>
      <x:c r="K22" s="79" t="n">
        <x:v>9</x:v>
      </x:c>
      <x:c r="L22" t="str">
        <x:v>Rework</x:v>
      </x:c>
      <x:c r="M22" t="str">
        <x:v>Team Lead D</x:v>
      </x:c>
      <x:c r="N22" t="str">
        <x:v>Critical</x:v>
      </x:c>
      <x:c r="O22" t="str">
        <x:v>High-priority activity overdue by more than 7 days</x:v>
      </x:c>
    </x:row>
    <x:row r="23">
      <x:c r="A23" t="str">
        <x:v>ACT-0293</x:v>
      </x:c>
      <x:c r="B23" t="str">
        <x:v>Construction</x:v>
      </x:c>
      <x:c r="C23" t="str">
        <x:v>CONST-A</x:v>
      </x:c>
      <x:c r="D23" t="str">
        <x:v>Site Preparation</x:v>
      </x:c>
      <x:c r="E23" t="str">
        <x:v>On Hold</x:v>
      </x:c>
      <x:c r="F23" t="str">
        <x:v>High</x:v>
      </x:c>
      <x:c r="G23" s="79" t="n">
        <x:v>30</x:v>
      </x:c>
      <x:c r="H23" s="6" t="n">
        <x:v>46240</x:v>
      </x:c>
      <x:c r="I23" s="79" t="n">
        <x:v>26</x:v>
      </x:c>
      <x:c r="J23" s="6" t="n">
        <x:v>46259</x:v>
      </x:c>
      <x:c r="K23" s="79" t="n">
        <x:v>7</x:v>
      </x:c>
      <x:c r="L23" t="str">
        <x:v>Approval Delay</x:v>
      </x:c>
      <x:c r="M23" t="str">
        <x:v>Team Lead B</x:v>
      </x:c>
      <x:c r="N23" t="str">
        <x:v>Critical</x:v>
      </x:c>
      <x:c r="O23" t="str">
        <x:v>High-priority activity overdue by more than 7 days</x:v>
      </x:c>
    </x:row>
    <x:row r="24">
      <x:c r="A24" t="str">
        <x:v>ACT-0015</x:v>
      </x:c>
      <x:c r="B24" t="str">
        <x:v>Procurement</x:v>
      </x:c>
      <x:c r="C24" t="str">
        <x:v>PROC-A</x:v>
      </x:c>
      <x:c r="D24" t="str">
        <x:v>Material Delivery</x:v>
      </x:c>
      <x:c r="E24" t="str">
        <x:v>On Hold</x:v>
      </x:c>
      <x:c r="F24" t="str">
        <x:v>Medium</x:v>
      </x:c>
      <x:c r="G24" s="79" t="n">
        <x:v>20</x:v>
      </x:c>
      <x:c r="H24" s="6" t="n">
        <x:v>46241</x:v>
      </x:c>
      <x:c r="I24" s="79" t="n">
        <x:v>25</x:v>
      </x:c>
      <x:c r="J24" s="6" t="n">
        <x:v>46257</x:v>
      </x:c>
      <x:c r="K24" s="79" t="n">
        <x:v>9</x:v>
      </x:c>
      <x:c r="L24" t="str">
        <x:v>Rework</x:v>
      </x:c>
      <x:c r="M24" t="str">
        <x:v>Team Lead E</x:v>
      </x:c>
      <x:c r="N24" t="str">
        <x:v>Critical</x:v>
      </x:c>
      <x:c r="O24" t="str">
        <x:v>Activity is on hold</x:v>
      </x:c>
    </x:row>
    <x:row r="25">
      <x:c r="A25" t="str">
        <x:v>ACT-0021</x:v>
      </x:c>
      <x:c r="B25" t="str">
        <x:v>Engineering</x:v>
      </x:c>
      <x:c r="C25" t="str">
        <x:v>ENG-A</x:v>
      </x:c>
      <x:c r="D25" t="str">
        <x:v>Technical Query</x:v>
      </x:c>
      <x:c r="E25" t="str">
        <x:v>In Progress</x:v>
      </x:c>
      <x:c r="F25" t="str">
        <x:v>High</x:v>
      </x:c>
      <x:c r="G25" s="79" t="n">
        <x:v>95</x:v>
      </x:c>
      <x:c r="H25" s="6" t="n">
        <x:v>46243</x:v>
      </x:c>
      <x:c r="I25" s="79" t="n">
        <x:v>23</x:v>
      </x:c>
      <x:c r="J25" s="6" t="n">
        <x:v>46253</x:v>
      </x:c>
      <x:c r="K25" s="79" t="n">
        <x:v>13</x:v>
      </x:c>
      <x:c r="L25" t="str">
        <x:v>Documentation</x:v>
      </x:c>
      <x:c r="M25" t="str">
        <x:v>Team Lead A</x:v>
      </x:c>
      <x:c r="N25" t="str">
        <x:v>Critical</x:v>
      </x:c>
      <x:c r="O25" t="str">
        <x:v>High-priority activity overdue by more than 7 days</x:v>
      </x:c>
    </x:row>
    <x:row r="26">
      <x:c r="A26" t="str">
        <x:v>ACT-0011</x:v>
      </x:c>
      <x:c r="B26" t="str">
        <x:v>QA/QC</x:v>
      </x:c>
      <x:c r="C26" t="str">
        <x:v>QA-A</x:v>
      </x:c>
      <x:c r="D26" t="str">
        <x:v>Quality Review</x:v>
      </x:c>
      <x:c r="E26" t="str">
        <x:v>On Hold</x:v>
      </x:c>
      <x:c r="F26" t="str">
        <x:v>Medium</x:v>
      </x:c>
      <x:c r="G26" s="79" t="n">
        <x:v>50</x:v>
      </x:c>
      <x:c r="H26" s="6" t="n">
        <x:v>46244</x:v>
      </x:c>
      <x:c r="I26" s="79" t="n">
        <x:v>22</x:v>
      </x:c>
      <x:c r="J26" s="6" t="n">
        <x:v>46261</x:v>
      </x:c>
      <x:c r="K26" s="79" t="n">
        <x:v>5</x:v>
      </x:c>
      <x:c r="L26" t="str">
        <x:v>Documentation</x:v>
      </x:c>
      <x:c r="M26" t="str">
        <x:v>Team Lead A</x:v>
      </x:c>
      <x:c r="N26" t="str">
        <x:v>Critical</x:v>
      </x:c>
      <x:c r="O26" t="str">
        <x:v>Activity is on hold</x:v>
      </x:c>
    </x:row>
    <x:row r="27">
      <x:c r="A27" t="str">
        <x:v>ACT-0102</x:v>
      </x:c>
      <x:c r="B27" t="str">
        <x:v>Project Controls</x:v>
      </x:c>
      <x:c r="C27" t="str">
        <x:v>PC-A</x:v>
      </x:c>
      <x:c r="D27" t="str">
        <x:v>KPI Update</x:v>
      </x:c>
      <x:c r="E27" t="str">
        <x:v>On Hold</x:v>
      </x:c>
      <x:c r="F27" t="str">
        <x:v>High</x:v>
      </x:c>
      <x:c r="G27" s="79" t="n">
        <x:v>20</x:v>
      </x:c>
      <x:c r="H27" s="6" t="n">
        <x:v>46245</x:v>
      </x:c>
      <x:c r="I27" s="79" t="n">
        <x:v>21</x:v>
      </x:c>
      <x:c r="J27" s="6" t="n">
        <x:v>46246</x:v>
      </x:c>
      <x:c r="K27" s="79" t="n">
        <x:v>20</x:v>
      </x:c>
      <x:c r="L27" t="str">
        <x:v>Approval Delay</x:v>
      </x:c>
      <x:c r="M27" t="str">
        <x:v>Team Lead E</x:v>
      </x:c>
      <x:c r="N27" t="str">
        <x:v>Critical</x:v>
      </x:c>
      <x:c r="O27" t="str">
        <x:v>High-priority activity overdue by more than 7 days</x:v>
      </x:c>
    </x:row>
    <x:row r="28">
      <x:c r="A28" t="str">
        <x:v>ACT-0084</x:v>
      </x:c>
      <x:c r="B28" t="str">
        <x:v>Construction</x:v>
      </x:c>
      <x:c r="C28" t="str">
        <x:v>CONST-B</x:v>
      </x:c>
      <x:c r="D28" t="str">
        <x:v>Progress Update</x:v>
      </x:c>
      <x:c r="E28" t="str">
        <x:v>On Hold</x:v>
      </x:c>
      <x:c r="F28" t="str">
        <x:v>Medium</x:v>
      </x:c>
      <x:c r="G28" s="79" t="n">
        <x:v>50</x:v>
      </x:c>
      <x:c r="H28" s="6" t="n">
        <x:v>46245</x:v>
      </x:c>
      <x:c r="I28" s="79" t="n">
        <x:v>21</x:v>
      </x:c>
      <x:c r="J28" s="6" t="n">
        <x:v>46257</x:v>
      </x:c>
      <x:c r="K28" s="79" t="n">
        <x:v>9</x:v>
      </x:c>
      <x:c r="L28" t="str">
        <x:v>Material Delay</x:v>
      </x:c>
      <x:c r="M28" t="str">
        <x:v>Team Lead E</x:v>
      </x:c>
      <x:c r="N28" t="str">
        <x:v>Critical</x:v>
      </x:c>
      <x:c r="O28" t="str">
        <x:v>Activity is on hold</x:v>
      </x:c>
    </x:row>
    <x:row r="29">
      <x:c r="A29" t="str">
        <x:v>ACT-0111</x:v>
      </x:c>
      <x:c r="B29" t="str">
        <x:v>Construction</x:v>
      </x:c>
      <x:c r="C29" t="str">
        <x:v>CONST-A</x:v>
      </x:c>
      <x:c r="D29" t="str">
        <x:v>Site Preparation</x:v>
      </x:c>
      <x:c r="E29" t="str">
        <x:v>On Hold</x:v>
      </x:c>
      <x:c r="F29" t="str">
        <x:v>High</x:v>
      </x:c>
      <x:c r="G29" s="79" t="n">
        <x:v>70</x:v>
      </x:c>
      <x:c r="H29" s="6" t="n">
        <x:v>46248</x:v>
      </x:c>
      <x:c r="I29" s="79" t="n">
        <x:v>18</x:v>
      </x:c>
      <x:c r="J29" s="6" t="n">
        <x:v>46252</x:v>
      </x:c>
      <x:c r="K29" s="79" t="n">
        <x:v>14</x:v>
      </x:c>
      <x:c r="L29" t="str">
        <x:v>Manpower</x:v>
      </x:c>
      <x:c r="M29" t="str">
        <x:v>Team Lead A</x:v>
      </x:c>
      <x:c r="N29" t="str">
        <x:v>Critical</x:v>
      </x:c>
      <x:c r="O29" t="str">
        <x:v>High-priority activity overdue by more than 7 days</x:v>
      </x:c>
    </x:row>
    <x:row r="30">
      <x:c r="A30" t="str">
        <x:v>ACT-0028</x:v>
      </x:c>
      <x:c r="B30" t="str">
        <x:v>Construction</x:v>
      </x:c>
      <x:c r="C30" t="str">
        <x:v>CONST-A</x:v>
      </x:c>
      <x:c r="D30" t="str">
        <x:v>Field Installation</x:v>
      </x:c>
      <x:c r="E30" t="str">
        <x:v>In Progress</x:v>
      </x:c>
      <x:c r="F30" t="str">
        <x:v>High</x:v>
      </x:c>
      <x:c r="G30" s="79" t="n">
        <x:v>60</x:v>
      </x:c>
      <x:c r="H30" s="6" t="n">
        <x:v>46251</x:v>
      </x:c>
      <x:c r="I30" s="79" t="n">
        <x:v>15</x:v>
      </x:c>
      <x:c r="J30" s="6" t="n">
        <x:v>46252</x:v>
      </x:c>
      <x:c r="K30" s="79" t="n">
        <x:v>14</x:v>
      </x:c>
      <x:c r="L30" t="str"/>
      <x:c r="M30" t="str">
        <x:v>Team Lead B</x:v>
      </x:c>
      <x:c r="N30" t="str">
        <x:v>Critical</x:v>
      </x:c>
      <x:c r="O30" t="str">
        <x:v>High-priority activity overdue by more than 7 days</x:v>
      </x:c>
    </x:row>
    <x:row r="31">
      <x:c r="A31" t="str">
        <x:v>ACT-0109</x:v>
      </x:c>
      <x:c r="B31" t="str">
        <x:v>Engineering</x:v>
      </x:c>
      <x:c r="C31" t="str">
        <x:v>ENG-A</x:v>
      </x:c>
      <x:c r="D31" t="str">
        <x:v>RFI Closure</x:v>
      </x:c>
      <x:c r="E31" t="str">
        <x:v>In Progress</x:v>
      </x:c>
      <x:c r="F31" t="str">
        <x:v>High</x:v>
      </x:c>
      <x:c r="G31" s="79" t="n">
        <x:v>25</x:v>
      </x:c>
      <x:c r="H31" s="6" t="n">
        <x:v>46254</x:v>
      </x:c>
      <x:c r="I31" s="79" t="n">
        <x:v>12</x:v>
      </x:c>
      <x:c r="J31" s="6" t="n">
        <x:v>46264</x:v>
      </x:c>
      <x:c r="K31" s="79" t="n">
        <x:v>2</x:v>
      </x:c>
      <x:c r="L31" t="str"/>
      <x:c r="M31" t="str">
        <x:v>Team Lead B</x:v>
      </x:c>
      <x:c r="N31" t="str">
        <x:v>Critical</x:v>
      </x:c>
      <x:c r="O31" t="str">
        <x:v>High-priority activity overdue by more than 7 days</x:v>
      </x:c>
    </x:row>
    <x:row r="32">
      <x:c r="A32" t="str">
        <x:v>ACT-0082</x:v>
      </x:c>
      <x:c r="B32" t="str">
        <x:v>QA/QC</x:v>
      </x:c>
      <x:c r="C32" t="str">
        <x:v>QA-A</x:v>
      </x:c>
      <x:c r="D32" t="str">
        <x:v>Punch Clearance</x:v>
      </x:c>
      <x:c r="E32" t="str">
        <x:v>In Progress</x:v>
      </x:c>
      <x:c r="F32" t="str">
        <x:v>High</x:v>
      </x:c>
      <x:c r="G32" s="79" t="n">
        <x:v>85</x:v>
      </x:c>
      <x:c r="H32" s="6" t="n">
        <x:v>46255</x:v>
      </x:c>
      <x:c r="I32" s="79" t="n">
        <x:v>11</x:v>
      </x:c>
      <x:c r="J32" s="6" t="n">
        <x:v>46257</x:v>
      </x:c>
      <x:c r="K32" s="79" t="n">
        <x:v>9</x:v>
      </x:c>
      <x:c r="L32" t="str">
        <x:v>Documentation</x:v>
      </x:c>
      <x:c r="M32" t="str">
        <x:v>Team Lead F</x:v>
      </x:c>
      <x:c r="N32" t="str">
        <x:v>Critical</x:v>
      </x:c>
      <x:c r="O32" t="str">
        <x:v>High-priority activity overdue by more than 7 days</x:v>
      </x:c>
    </x:row>
    <x:row r="33">
      <x:c r="A33" t="str">
        <x:v>ACT-0256</x:v>
      </x:c>
      <x:c r="B33" t="str">
        <x:v>Engineering</x:v>
      </x:c>
      <x:c r="C33" t="str">
        <x:v>ENG-B</x:v>
      </x:c>
      <x:c r="D33" t="str">
        <x:v>Design Update</x:v>
      </x:c>
      <x:c r="E33" t="str">
        <x:v>On Hold</x:v>
      </x:c>
      <x:c r="F33" t="str">
        <x:v>Low</x:v>
      </x:c>
      <x:c r="G33" s="79" t="n">
        <x:v>40</x:v>
      </x:c>
      <x:c r="H33" s="6" t="n">
        <x:v>46257</x:v>
      </x:c>
      <x:c r="I33" s="79" t="n">
        <x:v>9</x:v>
      </x:c>
      <x:c r="J33" s="6" t="n">
        <x:v>46257</x:v>
      </x:c>
      <x:c r="K33" s="79" t="n">
        <x:v>9</x:v>
      </x:c>
      <x:c r="L33" t="str">
        <x:v>Approval Delay</x:v>
      </x:c>
      <x:c r="M33" t="str">
        <x:v>Team Lead D</x:v>
      </x:c>
      <x:c r="N33" t="str">
        <x:v>Critical</x:v>
      </x:c>
      <x:c r="O33" t="str">
        <x:v>Activity is on hold</x:v>
      </x:c>
    </x:row>
    <x:row r="34">
      <x:c r="A34" t="str">
        <x:v>ACT-0016</x:v>
      </x:c>
      <x:c r="B34" t="str">
        <x:v>Engineering</x:v>
      </x:c>
      <x:c r="C34" t="str">
        <x:v>ENG-B</x:v>
      </x:c>
      <x:c r="D34" t="str">
        <x:v>RFI Closure</x:v>
      </x:c>
      <x:c r="E34" t="str">
        <x:v>On Hold</x:v>
      </x:c>
      <x:c r="F34" t="str">
        <x:v>High</x:v>
      </x:c>
      <x:c r="G34" s="79" t="n">
        <x:v>30</x:v>
      </x:c>
      <x:c r="H34" s="6" t="n">
        <x:v>46270</x:v>
      </x:c>
      <x:c r="I34" s="79" t="n">
        <x:v>0</x:v>
      </x:c>
      <x:c r="J34" s="6" t="n">
        <x:v>46249</x:v>
      </x:c>
      <x:c r="K34" s="79" t="n">
        <x:v>17</x:v>
      </x:c>
      <x:c r="L34" t="str">
        <x:v>Access Constraint</x:v>
      </x:c>
      <x:c r="M34" t="str">
        <x:v>Team Lead F</x:v>
      </x:c>
      <x:c r="N34" t="str">
        <x:v>Critical</x:v>
      </x:c>
      <x:c r="O34" t="str">
        <x:v>Activity is on hold</x:v>
      </x:c>
    </x:row>
    <x:row r="35">
      <x:c r="A35" t="str">
        <x:v>ACT-0198</x:v>
      </x:c>
      <x:c r="B35" t="str">
        <x:v>Construction</x:v>
      </x:c>
      <x:c r="C35" t="str">
        <x:v>CONST-A</x:v>
      </x:c>
      <x:c r="D35" t="str">
        <x:v>Progress Update</x:v>
      </x:c>
      <x:c r="E35" t="str">
        <x:v>On Hold</x:v>
      </x:c>
      <x:c r="F35" t="str">
        <x:v>High</x:v>
      </x:c>
      <x:c r="G35" s="79" t="n">
        <x:v>10</x:v>
      </x:c>
      <x:c r="H35" s="6" t="n">
        <x:v>46271</x:v>
      </x:c>
      <x:c r="I35" s="79" t="n">
        <x:v>0</x:v>
      </x:c>
      <x:c r="J35" s="6" t="n">
        <x:v>46247</x:v>
      </x:c>
      <x:c r="K35" s="79" t="n">
        <x:v>19</x:v>
      </x:c>
      <x:c r="L35" t="str">
        <x:v>Material Delay</x:v>
      </x:c>
      <x:c r="M35" t="str">
        <x:v>Team Lead D</x:v>
      </x:c>
      <x:c r="N35" t="str">
        <x:v>Critical</x:v>
      </x:c>
      <x:c r="O35" t="str">
        <x:v>Activity is on hold</x:v>
      </x:c>
    </x:row>
    <x:row r="36">
      <x:c r="A36" t="str">
        <x:v>ACT-0216</x:v>
      </x:c>
      <x:c r="B36" t="str">
        <x:v>Construction</x:v>
      </x:c>
      <x:c r="C36" t="str">
        <x:v>CONST-A</x:v>
      </x:c>
      <x:c r="D36" t="str">
        <x:v>Punch Clearance</x:v>
      </x:c>
      <x:c r="E36" t="str">
        <x:v>On Hold</x:v>
      </x:c>
      <x:c r="F36" t="str">
        <x:v>High</x:v>
      </x:c>
      <x:c r="G36" s="79" t="n">
        <x:v>20</x:v>
      </x:c>
      <x:c r="H36" s="6" t="n">
        <x:v>46275</x:v>
      </x:c>
      <x:c r="I36" s="79" t="n">
        <x:v>0</x:v>
      </x:c>
      <x:c r="J36" s="6" t="n">
        <x:v>46251</x:v>
      </x:c>
      <x:c r="K36" s="79" t="n">
        <x:v>15</x:v>
      </x:c>
      <x:c r="L36" t="str">
        <x:v>Material Delay</x:v>
      </x:c>
      <x:c r="M36" t="str">
        <x:v>Team Lead A</x:v>
      </x:c>
      <x:c r="N36" t="str">
        <x:v>Critical</x:v>
      </x:c>
      <x:c r="O36" t="str">
        <x:v>Activity is on hold</x:v>
      </x:c>
    </x:row>
    <x:row r="37">
      <x:c r="A37" t="str">
        <x:v>ACT-0052</x:v>
      </x:c>
      <x:c r="B37" t="str">
        <x:v>QA/QC</x:v>
      </x:c>
      <x:c r="C37" t="str">
        <x:v>QA-B</x:v>
      </x:c>
      <x:c r="D37" t="str">
        <x:v>Quality Review</x:v>
      </x:c>
      <x:c r="E37" t="str">
        <x:v>On Hold</x:v>
      </x:c>
      <x:c r="F37" t="str">
        <x:v>Low</x:v>
      </x:c>
      <x:c r="G37" s="79" t="n">
        <x:v>20</x:v>
      </x:c>
      <x:c r="H37" s="6" t="n">
        <x:v>46268</x:v>
      </x:c>
      <x:c r="I37" s="79" t="n">
        <x:v>0</x:v>
      </x:c>
      <x:c r="J37" s="6" t="n">
        <x:v>46246</x:v>
      </x:c>
      <x:c r="K37" s="79" t="n">
        <x:v>20</x:v>
      </x:c>
      <x:c r="L37" t="str">
        <x:v>Approval Delay</x:v>
      </x:c>
      <x:c r="M37" t="str">
        <x:v>Team Lead D</x:v>
      </x:c>
      <x:c r="N37" t="str">
        <x:v>Critical</x:v>
      </x:c>
      <x:c r="O37" t="str">
        <x:v>Activity is on hold</x:v>
      </x:c>
    </x:row>
    <x:row r="38">
      <x:c r="A38" t="str">
        <x:v>ACT-0282</x:v>
      </x:c>
      <x:c r="B38" t="str">
        <x:v>Construction</x:v>
      </x:c>
      <x:c r="C38" t="str">
        <x:v>CONST-A</x:v>
      </x:c>
      <x:c r="D38" t="str">
        <x:v>Progress Update</x:v>
      </x:c>
      <x:c r="E38" t="str">
        <x:v>On Hold</x:v>
      </x:c>
      <x:c r="F38" t="str">
        <x:v>Low</x:v>
      </x:c>
      <x:c r="G38" s="79" t="n">
        <x:v>10</x:v>
      </x:c>
      <x:c r="H38" s="6" t="n">
        <x:v>46279</x:v>
      </x:c>
      <x:c r="I38" s="79" t="n">
        <x:v>0</x:v>
      </x:c>
      <x:c r="J38" s="6" t="n">
        <x:v>46254</x:v>
      </x:c>
      <x:c r="K38" s="79" t="n">
        <x:v>12</x:v>
      </x:c>
      <x:c r="L38" t="str">
        <x:v>Approval Delay</x:v>
      </x:c>
      <x:c r="M38" t="str">
        <x:v>Team Lead D</x:v>
      </x:c>
      <x:c r="N38" t="str">
        <x:v>Critical</x:v>
      </x:c>
      <x:c r="O38" t="str">
        <x:v>Activity is on hold</x:v>
      </x:c>
    </x:row>
    <x:row r="39">
      <x:c r="A39" t="str">
        <x:v>ACT-0151</x:v>
      </x:c>
      <x:c r="B39" t="str">
        <x:v>Construction</x:v>
      </x:c>
      <x:c r="C39" t="str">
        <x:v>CONST-B</x:v>
      </x:c>
      <x:c r="D39" t="str">
        <x:v>Progress Update</x:v>
      </x:c>
      <x:c r="E39" t="str">
        <x:v>In Progress</x:v>
      </x:c>
      <x:c r="F39" t="str">
        <x:v>Medium</x:v>
      </x:c>
      <x:c r="G39" s="79" t="n">
        <x:v>90</x:v>
      </x:c>
      <x:c r="H39" s="6" t="n">
        <x:v>46190</x:v>
      </x:c>
      <x:c r="I39" s="79" t="n">
        <x:v>76</x:v>
      </x:c>
      <x:c r="J39" s="6" t="n">
        <x:v>46256</x:v>
      </x:c>
      <x:c r="K39" s="79" t="n">
        <x:v>10</x:v>
      </x:c>
      <x:c r="L39" t="str">
        <x:v>Manpower</x:v>
      </x:c>
      <x:c r="M39" t="str">
        <x:v>Team Lead E</x:v>
      </x:c>
      <x:c r="N39" t="str">
        <x:v>Warning</x:v>
      </x:c>
      <x:c r="O39" t="str">
        <x:v>Open activity has a stale update (&gt;7 days)</x:v>
      </x:c>
    </x:row>
    <x:row r="40">
      <x:c r="A40" t="str">
        <x:v>ACT-0300</x:v>
      </x:c>
      <x:c r="B40" t="str">
        <x:v>Engineering</x:v>
      </x:c>
      <x:c r="C40" t="str">
        <x:v>ENG-A</x:v>
      </x:c>
      <x:c r="D40" t="str">
        <x:v>RFI Closure</x:v>
      </x:c>
      <x:c r="E40" t="str">
        <x:v>In Progress</x:v>
      </x:c>
      <x:c r="F40" t="str">
        <x:v>Medium</x:v>
      </x:c>
      <x:c r="G40" s="79" t="n">
        <x:v>85</x:v>
      </x:c>
      <x:c r="H40" s="6" t="n">
        <x:v>46199</x:v>
      </x:c>
      <x:c r="I40" s="79" t="n">
        <x:v>67</x:v>
      </x:c>
      <x:c r="J40" s="6" t="n">
        <x:v>46256</x:v>
      </x:c>
      <x:c r="K40" s="79" t="n">
        <x:v>10</x:v>
      </x:c>
      <x:c r="L40" t="str"/>
      <x:c r="M40" t="str">
        <x:v>Team Lead E</x:v>
      </x:c>
      <x:c r="N40" t="str">
        <x:v>Warning</x:v>
      </x:c>
      <x:c r="O40" t="str">
        <x:v>Open activity has a stale update (&gt;7 days)</x:v>
      </x:c>
    </x:row>
    <x:row r="41">
      <x:c r="A41" t="str">
        <x:v>ACT-0286</x:v>
      </x:c>
      <x:c r="B41" t="str">
        <x:v>Engineering</x:v>
      </x:c>
      <x:c r="C41" t="str">
        <x:v>ENG-A</x:v>
      </x:c>
      <x:c r="D41" t="str">
        <x:v>Technical Query</x:v>
      </x:c>
      <x:c r="E41" t="str">
        <x:v>In Progress</x:v>
      </x:c>
      <x:c r="F41" t="str">
        <x:v>Low</x:v>
      </x:c>
      <x:c r="G41" s="79" t="n">
        <x:v>85</x:v>
      </x:c>
      <x:c r="H41" s="6" t="n">
        <x:v>46205</x:v>
      </x:c>
      <x:c r="I41" s="79" t="n">
        <x:v>61</x:v>
      </x:c>
      <x:c r="J41" s="6" t="n">
        <x:v>46255</x:v>
      </x:c>
      <x:c r="K41" s="79" t="n">
        <x:v>11</x:v>
      </x:c>
      <x:c r="L41" t="str"/>
      <x:c r="M41" t="str">
        <x:v>Team Lead F</x:v>
      </x:c>
      <x:c r="N41" t="str">
        <x:v>Warning</x:v>
      </x:c>
      <x:c r="O41" t="str">
        <x:v>Open activity has a stale update (&gt;7 days)</x:v>
      </x:c>
    </x:row>
    <x:row r="42">
      <x:c r="A42" t="str">
        <x:v>ACT-0099</x:v>
      </x:c>
      <x:c r="B42" t="str">
        <x:v>QA/QC</x:v>
      </x:c>
      <x:c r="C42" t="str">
        <x:v>QA-B</x:v>
      </x:c>
      <x:c r="D42" t="str">
        <x:v>Inspection Request</x:v>
      </x:c>
      <x:c r="E42" t="str">
        <x:v>In Progress</x:v>
      </x:c>
      <x:c r="F42" t="str">
        <x:v>Low</x:v>
      </x:c>
      <x:c r="G42" s="79" t="n">
        <x:v>60</x:v>
      </x:c>
      <x:c r="H42" s="6" t="n">
        <x:v>46206</x:v>
      </x:c>
      <x:c r="I42" s="79" t="n">
        <x:v>60</x:v>
      </x:c>
      <x:c r="J42" s="6" t="n">
        <x:v>46258</x:v>
      </x:c>
      <x:c r="K42" s="79" t="n">
        <x:v>8</x:v>
      </x:c>
      <x:c r="L42" t="str">
        <x:v>Material Delay</x:v>
      </x:c>
      <x:c r="M42" t="str">
        <x:v>Team Lead C</x:v>
      </x:c>
      <x:c r="N42" t="str">
        <x:v>Warning</x:v>
      </x:c>
      <x:c r="O42" t="str">
        <x:v>Open activity has a stale update (&gt;7 days)</x:v>
      </x:c>
    </x:row>
    <x:row r="43">
      <x:c r="A43" t="str">
        <x:v>ACT-0067</x:v>
      </x:c>
      <x:c r="B43" t="str">
        <x:v>Engineering</x:v>
      </x:c>
      <x:c r="C43" t="str">
        <x:v>ENG-A</x:v>
      </x:c>
      <x:c r="D43" t="str">
        <x:v>RFI Closure</x:v>
      </x:c>
      <x:c r="E43" t="str">
        <x:v>In Progress</x:v>
      </x:c>
      <x:c r="F43" t="str">
        <x:v>Medium</x:v>
      </x:c>
      <x:c r="G43" s="79" t="n">
        <x:v>80</x:v>
      </x:c>
      <x:c r="H43" s="6" t="n">
        <x:v>46207</x:v>
      </x:c>
      <x:c r="I43" s="79" t="n">
        <x:v>59</x:v>
      </x:c>
      <x:c r="J43" s="6" t="n">
        <x:v>46254</x:v>
      </x:c>
      <x:c r="K43" s="79" t="n">
        <x:v>12</x:v>
      </x:c>
      <x:c r="L43" t="str">
        <x:v>Material Delay</x:v>
      </x:c>
      <x:c r="M43" t="str">
        <x:v>Team Lead C</x:v>
      </x:c>
      <x:c r="N43" t="str">
        <x:v>Warning</x:v>
      </x:c>
      <x:c r="O43" t="str">
        <x:v>Open activity has a stale update (&gt;7 days)</x:v>
      </x:c>
    </x:row>
    <x:row r="44">
      <x:c r="A44" t="str">
        <x:v>ACT-0071</x:v>
      </x:c>
      <x:c r="B44" t="str">
        <x:v>Procurement</x:v>
      </x:c>
      <x:c r="C44" t="str">
        <x:v>PROC-A</x:v>
      </x:c>
      <x:c r="D44" t="str">
        <x:v>Material Delivery</x:v>
      </x:c>
      <x:c r="E44" t="str">
        <x:v>In Progress</x:v>
      </x:c>
      <x:c r="F44" t="str">
        <x:v>Medium</x:v>
      </x:c>
      <x:c r="G44" s="79" t="n">
        <x:v>95</x:v>
      </x:c>
      <x:c r="H44" s="6" t="n">
        <x:v>46209</x:v>
      </x:c>
      <x:c r="I44" s="79" t="n">
        <x:v>57</x:v>
      </x:c>
      <x:c r="J44" s="6" t="n">
        <x:v>46257</x:v>
      </x:c>
      <x:c r="K44" s="79" t="n">
        <x:v>9</x:v>
      </x:c>
      <x:c r="L44" t="str"/>
      <x:c r="M44" t="str">
        <x:v>Team Lead E</x:v>
      </x:c>
      <x:c r="N44" t="str">
        <x:v>Warning</x:v>
      </x:c>
      <x:c r="O44" t="str">
        <x:v>Open activity has a stale update (&gt;7 days)</x:v>
      </x:c>
    </x:row>
    <x:row r="45">
      <x:c r="A45" t="str">
        <x:v>ACT-0267</x:v>
      </x:c>
      <x:c r="B45" t="str">
        <x:v>QA/QC</x:v>
      </x:c>
      <x:c r="C45" t="str">
        <x:v>QA-A</x:v>
      </x:c>
      <x:c r="D45" t="str">
        <x:v>Quality Review</x:v>
      </x:c>
      <x:c r="E45" t="str">
        <x:v>In Progress</x:v>
      </x:c>
      <x:c r="F45" t="str">
        <x:v>Medium</x:v>
      </x:c>
      <x:c r="G45" s="79" t="n">
        <x:v>60</x:v>
      </x:c>
      <x:c r="H45" s="6" t="n">
        <x:v>46217</x:v>
      </x:c>
      <x:c r="I45" s="79" t="n">
        <x:v>49</x:v>
      </x:c>
      <x:c r="J45" s="6" t="n">
        <x:v>46253</x:v>
      </x:c>
      <x:c r="K45" s="79" t="n">
        <x:v>13</x:v>
      </x:c>
      <x:c r="L45" t="str">
        <x:v>Approval Delay</x:v>
      </x:c>
      <x:c r="M45" t="str">
        <x:v>Team Lead E</x:v>
      </x:c>
      <x:c r="N45" t="str">
        <x:v>Warning</x:v>
      </x:c>
      <x:c r="O45" t="str">
        <x:v>Open activity has a stale update (&gt;7 days)</x:v>
      </x:c>
    </x:row>
    <x:row r="46">
      <x:c r="A46" t="str">
        <x:v>ACT-0263</x:v>
      </x:c>
      <x:c r="B46" t="str">
        <x:v>QA/QC</x:v>
      </x:c>
      <x:c r="C46" t="str">
        <x:v>QA-B</x:v>
      </x:c>
      <x:c r="D46" t="str">
        <x:v>Test Package</x:v>
      </x:c>
      <x:c r="E46" t="str">
        <x:v>In Progress</x:v>
      </x:c>
      <x:c r="F46" t="str">
        <x:v>Low</x:v>
      </x:c>
      <x:c r="G46" s="79" t="n">
        <x:v>55</x:v>
      </x:c>
      <x:c r="H46" s="6" t="n">
        <x:v>46218</x:v>
      </x:c>
      <x:c r="I46" s="79" t="n">
        <x:v>48</x:v>
      </x:c>
      <x:c r="J46" s="6" t="n">
        <x:v>46253</x:v>
      </x:c>
      <x:c r="K46" s="79" t="n">
        <x:v>13</x:v>
      </x:c>
      <x:c r="L46" t="str">
        <x:v>Manpower</x:v>
      </x:c>
      <x:c r="M46" t="str">
        <x:v>Team Lead F</x:v>
      </x:c>
      <x:c r="N46" t="str">
        <x:v>Warning</x:v>
      </x:c>
      <x:c r="O46" t="str">
        <x:v>Open activity has a stale update (&gt;7 days)</x:v>
      </x:c>
    </x:row>
    <x:row r="47">
      <x:c r="A47" t="str">
        <x:v>ACT-0292</x:v>
      </x:c>
      <x:c r="B47" t="str">
        <x:v>Engineering</x:v>
      </x:c>
      <x:c r="C47" t="str">
        <x:v>ENG-B</x:v>
      </x:c>
      <x:c r="D47" t="str">
        <x:v>Drawing Review</x:v>
      </x:c>
      <x:c r="E47" t="str">
        <x:v>In Progress</x:v>
      </x:c>
      <x:c r="F47" t="str">
        <x:v>Medium</x:v>
      </x:c>
      <x:c r="G47" s="79" t="n">
        <x:v>90</x:v>
      </x:c>
      <x:c r="H47" s="6" t="n">
        <x:v>46219</x:v>
      </x:c>
      <x:c r="I47" s="79" t="n">
        <x:v>47</x:v>
      </x:c>
      <x:c r="J47" s="6" t="n">
        <x:v>46255</x:v>
      </x:c>
      <x:c r="K47" s="79" t="n">
        <x:v>11</x:v>
      </x:c>
      <x:c r="L47" t="str">
        <x:v>Approval Delay</x:v>
      </x:c>
      <x:c r="M47" t="str">
        <x:v>Team Lead B</x:v>
      </x:c>
      <x:c r="N47" t="str">
        <x:v>Warning</x:v>
      </x:c>
      <x:c r="O47" t="str">
        <x:v>Open activity has a stale update (&gt;7 days)</x:v>
      </x:c>
    </x:row>
    <x:row r="48">
      <x:c r="A48" t="str">
        <x:v>ACT-0261</x:v>
      </x:c>
      <x:c r="B48" t="str">
        <x:v>QA/QC</x:v>
      </x:c>
      <x:c r="C48" t="str">
        <x:v>QA-A</x:v>
      </x:c>
      <x:c r="D48" t="str">
        <x:v>Inspection Request</x:v>
      </x:c>
      <x:c r="E48" t="str">
        <x:v>In Progress</x:v>
      </x:c>
      <x:c r="F48" t="str">
        <x:v>Medium</x:v>
      </x:c>
      <x:c r="G48" s="79" t="n">
        <x:v>90</x:v>
      </x:c>
      <x:c r="H48" s="6" t="n">
        <x:v>46228</x:v>
      </x:c>
      <x:c r="I48" s="79" t="n">
        <x:v>38</x:v>
      </x:c>
      <x:c r="J48" s="6" t="n">
        <x:v>46257</x:v>
      </x:c>
      <x:c r="K48" s="79" t="n">
        <x:v>9</x:v>
      </x:c>
      <x:c r="L48" t="str">
        <x:v>Manpower</x:v>
      </x:c>
      <x:c r="M48" t="str">
        <x:v>Team Lead B</x:v>
      </x:c>
      <x:c r="N48" t="str">
        <x:v>Warning</x:v>
      </x:c>
      <x:c r="O48" t="str">
        <x:v>Open activity has a stale update (&gt;7 days)</x:v>
      </x:c>
    </x:row>
    <x:row r="49">
      <x:c r="A49" t="str">
        <x:v>ACT-0055</x:v>
      </x:c>
      <x:c r="B49" t="str">
        <x:v>Engineering</x:v>
      </x:c>
      <x:c r="C49" t="str">
        <x:v>ENG-B</x:v>
      </x:c>
      <x:c r="D49" t="str">
        <x:v>Technical Query</x:v>
      </x:c>
      <x:c r="E49" t="str">
        <x:v>In Progress</x:v>
      </x:c>
      <x:c r="F49" t="str">
        <x:v>Low</x:v>
      </x:c>
      <x:c r="G49" s="79" t="n">
        <x:v>55</x:v>
      </x:c>
      <x:c r="H49" s="6" t="n">
        <x:v>46233</x:v>
      </x:c>
      <x:c r="I49" s="79" t="n">
        <x:v>33</x:v>
      </x:c>
      <x:c r="J49" s="6" t="n">
        <x:v>46253</x:v>
      </x:c>
      <x:c r="K49" s="79" t="n">
        <x:v>13</x:v>
      </x:c>
      <x:c r="L49" t="str"/>
      <x:c r="M49" t="str">
        <x:v>Team Lead A</x:v>
      </x:c>
      <x:c r="N49" t="str">
        <x:v>Warning</x:v>
      </x:c>
      <x:c r="O49" t="str">
        <x:v>Open activity has a stale update (&gt;7 days)</x:v>
      </x:c>
    </x:row>
    <x:row r="50">
      <x:c r="A50" t="str">
        <x:v>ACT-0087</x:v>
      </x:c>
      <x:c r="B50" t="str">
        <x:v>Procurement</x:v>
      </x:c>
      <x:c r="C50" t="str">
        <x:v>PROC-A</x:v>
      </x:c>
      <x:c r="D50" t="str">
        <x:v>Material Status Update</x:v>
      </x:c>
      <x:c r="E50" t="str">
        <x:v>In Progress</x:v>
      </x:c>
      <x:c r="F50" t="str">
        <x:v>Medium</x:v>
      </x:c>
      <x:c r="G50" s="79" t="n">
        <x:v>60</x:v>
      </x:c>
      <x:c r="H50" s="6" t="n">
        <x:v>46233</x:v>
      </x:c>
      <x:c r="I50" s="79" t="n">
        <x:v>33</x:v>
      </x:c>
      <x:c r="J50" s="6" t="n">
        <x:v>46255</x:v>
      </x:c>
      <x:c r="K50" s="79" t="n">
        <x:v>11</x:v>
      </x:c>
      <x:c r="L50" t="str">
        <x:v>Material Delay</x:v>
      </x:c>
      <x:c r="M50" t="str">
        <x:v>Team Lead D</x:v>
      </x:c>
      <x:c r="N50" t="str">
        <x:v>Warning</x:v>
      </x:c>
      <x:c r="O50" t="str">
        <x:v>Open activity has a stale update (&gt;7 days)</x:v>
      </x:c>
    </x:row>
    <x:row r="51">
      <x:c r="A51" t="str">
        <x:v>ACT-0085</x:v>
      </x:c>
      <x:c r="B51" t="str">
        <x:v>Construction</x:v>
      </x:c>
      <x:c r="C51" t="str">
        <x:v>CONST-A</x:v>
      </x:c>
      <x:c r="D51" t="str">
        <x:v>Field Installation</x:v>
      </x:c>
      <x:c r="E51" t="str">
        <x:v>In Progress</x:v>
      </x:c>
      <x:c r="F51" t="str">
        <x:v>Medium</x:v>
      </x:c>
      <x:c r="G51" s="79" t="n">
        <x:v>95</x:v>
      </x:c>
      <x:c r="H51" s="6" t="n">
        <x:v>46236</x:v>
      </x:c>
      <x:c r="I51" s="79" t="n">
        <x:v>30</x:v>
      </x:c>
      <x:c r="J51" s="6" t="n">
        <x:v>46258</x:v>
      </x:c>
      <x:c r="K51" s="79" t="n">
        <x:v>8</x:v>
      </x:c>
      <x:c r="L51" t="str"/>
      <x:c r="M51" t="str">
        <x:v>Team Lead A</x:v>
      </x:c>
      <x:c r="N51" t="str">
        <x:v>Warning</x:v>
      </x:c>
      <x:c r="O51" t="str">
        <x:v>Open activity has a stale update (&gt;7 days)</x:v>
      </x:c>
    </x:row>
    <x:row r="52">
      <x:c r="A52" t="str">
        <x:v>ACT-0041</x:v>
      </x:c>
      <x:c r="B52" t="str">
        <x:v>Procurement</x:v>
      </x:c>
      <x:c r="C52" t="str">
        <x:v>PROC-A</x:v>
      </x:c>
      <x:c r="D52" t="str">
        <x:v>Material Status Update</x:v>
      </x:c>
      <x:c r="E52" t="str">
        <x:v>In Progress</x:v>
      </x:c>
      <x:c r="F52" t="str">
        <x:v>Medium</x:v>
      </x:c>
      <x:c r="G52" s="79" t="n">
        <x:v>55</x:v>
      </x:c>
      <x:c r="H52" s="6" t="n">
        <x:v>46238</x:v>
      </x:c>
      <x:c r="I52" s="79" t="n">
        <x:v>28</x:v>
      </x:c>
      <x:c r="J52" s="6" t="n">
        <x:v>46258</x:v>
      </x:c>
      <x:c r="K52" s="79" t="n">
        <x:v>8</x:v>
      </x:c>
      <x:c r="L52" t="str">
        <x:v>Approval Delay</x:v>
      </x:c>
      <x:c r="M52" t="str">
        <x:v>Team Lead D</x:v>
      </x:c>
      <x:c r="N52" t="str">
        <x:v>Warning</x:v>
      </x:c>
      <x:c r="O52" t="str">
        <x:v>Open activity has a stale update (&gt;7 days)</x:v>
      </x:c>
    </x:row>
    <x:row r="53">
      <x:c r="A53" t="str">
        <x:v>ACT-0221</x:v>
      </x:c>
      <x:c r="B53" t="str">
        <x:v>QA/QC</x:v>
      </x:c>
      <x:c r="C53" t="str">
        <x:v>QA-B</x:v>
      </x:c>
      <x:c r="D53" t="str">
        <x:v>Quality Review</x:v>
      </x:c>
      <x:c r="E53" t="str">
        <x:v>In Progress</x:v>
      </x:c>
      <x:c r="F53" t="str">
        <x:v>Medium</x:v>
      </x:c>
      <x:c r="G53" s="79" t="n">
        <x:v>40</x:v>
      </x:c>
      <x:c r="H53" s="6" t="n">
        <x:v>46240</x:v>
      </x:c>
      <x:c r="I53" s="79" t="n">
        <x:v>26</x:v>
      </x:c>
      <x:c r="J53" s="6" t="n">
        <x:v>46255</x:v>
      </x:c>
      <x:c r="K53" s="79" t="n">
        <x:v>11</x:v>
      </x:c>
      <x:c r="L53" t="str">
        <x:v>Material Delay</x:v>
      </x:c>
      <x:c r="M53" t="str">
        <x:v>Team Lead B</x:v>
      </x:c>
      <x:c r="N53" t="str">
        <x:v>Warning</x:v>
      </x:c>
      <x:c r="O53" t="str">
        <x:v>Open activity has a stale update (&gt;7 days)</x:v>
      </x:c>
    </x:row>
    <x:row r="54">
      <x:c r="A54" t="str">
        <x:v>ACT-0244</x:v>
      </x:c>
      <x:c r="B54" t="str">
        <x:v>Construction</x:v>
      </x:c>
      <x:c r="C54" t="str">
        <x:v>CONST-B</x:v>
      </x:c>
      <x:c r="D54" t="str">
        <x:v>Field Installation</x:v>
      </x:c>
      <x:c r="E54" t="str">
        <x:v>In Progress</x:v>
      </x:c>
      <x:c r="F54" t="str">
        <x:v>Medium</x:v>
      </x:c>
      <x:c r="G54" s="79" t="n">
        <x:v>85</x:v>
      </x:c>
      <x:c r="H54" s="6" t="n">
        <x:v>46245</x:v>
      </x:c>
      <x:c r="I54" s="79" t="n">
        <x:v>21</x:v>
      </x:c>
      <x:c r="J54" s="6" t="n">
        <x:v>46252</x:v>
      </x:c>
      <x:c r="K54" s="79" t="n">
        <x:v>14</x:v>
      </x:c>
      <x:c r="L54" t="str"/>
      <x:c r="M54" t="str">
        <x:v>Team Lead B</x:v>
      </x:c>
      <x:c r="N54" t="str">
        <x:v>Warning</x:v>
      </x:c>
      <x:c r="O54" t="str">
        <x:v>Open activity has a stale update (&gt;7 days)</x:v>
      </x:c>
    </x:row>
    <x:row r="55">
      <x:c r="A55" t="str">
        <x:v>ACT-0193</x:v>
      </x:c>
      <x:c r="B55" t="str">
        <x:v>Procurement</x:v>
      </x:c>
      <x:c r="C55" t="str">
        <x:v>PROC-A</x:v>
      </x:c>
      <x:c r="D55" t="str">
        <x:v>Material Delivery</x:v>
      </x:c>
      <x:c r="E55" t="str">
        <x:v>In Progress</x:v>
      </x:c>
      <x:c r="F55" t="str">
        <x:v>Low</x:v>
      </x:c>
      <x:c r="G55" s="79" t="n">
        <x:v>55</x:v>
      </x:c>
      <x:c r="H55" s="6" t="n">
        <x:v>46252</x:v>
      </x:c>
      <x:c r="I55" s="79" t="n">
        <x:v>14</x:v>
      </x:c>
      <x:c r="J55" s="6" t="n">
        <x:v>46252</x:v>
      </x:c>
      <x:c r="K55" s="79" t="n">
        <x:v>14</x:v>
      </x:c>
      <x:c r="L55" t="str"/>
      <x:c r="M55" t="str">
        <x:v>Team Lead C</x:v>
      </x:c>
      <x:c r="N55" t="str">
        <x:v>Warning</x:v>
      </x:c>
      <x:c r="O55" t="str">
        <x:v>Open activity has a stale update (&gt;7 days)</x:v>
      </x:c>
    </x:row>
    <x:row r="56">
      <x:c r="A56" t="str">
        <x:v>ACT-0078</x:v>
      </x:c>
      <x:c r="B56" t="str">
        <x:v>Project Controls</x:v>
      </x:c>
      <x:c r="C56" t="str">
        <x:v>PC-A</x:v>
      </x:c>
      <x:c r="D56" t="str">
        <x:v>Progress Update</x:v>
      </x:c>
      <x:c r="E56" t="str">
        <x:v>In Progress</x:v>
      </x:c>
      <x:c r="F56" t="str">
        <x:v>Low</x:v>
      </x:c>
      <x:c r="G56" s="79" t="n">
        <x:v>40</x:v>
      </x:c>
      <x:c r="H56" s="6" t="n">
        <x:v>46253</x:v>
      </x:c>
      <x:c r="I56" s="79" t="n">
        <x:v>13</x:v>
      </x:c>
      <x:c r="J56" s="6" t="n">
        <x:v>46257</x:v>
      </x:c>
      <x:c r="K56" s="79" t="n">
        <x:v>9</x:v>
      </x:c>
      <x:c r="L56" t="str">
        <x:v>Material Delay</x:v>
      </x:c>
      <x:c r="M56" t="str">
        <x:v>Team Lead D</x:v>
      </x:c>
      <x:c r="N56" t="str">
        <x:v>Warning</x:v>
      </x:c>
      <x:c r="O56" t="str">
        <x:v>Open activity has a stale update (&gt;7 days)</x:v>
      </x:c>
    </x:row>
    <x:row r="57">
      <x:c r="A57" t="str">
        <x:v>ACT-0025</x:v>
      </x:c>
      <x:c r="B57" t="str">
        <x:v>Engineering</x:v>
      </x:c>
      <x:c r="C57" t="str">
        <x:v>ENG-A</x:v>
      </x:c>
      <x:c r="D57" t="str">
        <x:v>Drawing Review</x:v>
      </x:c>
      <x:c r="E57" t="str">
        <x:v>In Progress</x:v>
      </x:c>
      <x:c r="F57" t="str">
        <x:v>Medium</x:v>
      </x:c>
      <x:c r="G57" s="79" t="n">
        <x:v>35</x:v>
      </x:c>
      <x:c r="H57" s="6" t="n">
        <x:v>46255</x:v>
      </x:c>
      <x:c r="I57" s="79" t="n">
        <x:v>11</x:v>
      </x:c>
      <x:c r="J57" s="6" t="n">
        <x:v>46252</x:v>
      </x:c>
      <x:c r="K57" s="79" t="n">
        <x:v>14</x:v>
      </x:c>
      <x:c r="L57" t="str">
        <x:v>Material Delay</x:v>
      </x:c>
      <x:c r="M57" t="str">
        <x:v>Team Lead E</x:v>
      </x:c>
      <x:c r="N57" t="str">
        <x:v>Warning</x:v>
      </x:c>
      <x:c r="O57" t="str">
        <x:v>Open activity has a stale update (&gt;7 days)</x:v>
      </x:c>
    </x:row>
    <x:row r="58">
      <x:c r="A58" t="str">
        <x:v>ACT-0255</x:v>
      </x:c>
      <x:c r="B58" t="str">
        <x:v>Construction</x:v>
      </x:c>
      <x:c r="C58" t="str">
        <x:v>CONST-B</x:v>
      </x:c>
      <x:c r="D58" t="str">
        <x:v>Punch Clearance</x:v>
      </x:c>
      <x:c r="E58" t="str">
        <x:v>In Progress</x:v>
      </x:c>
      <x:c r="F58" t="str">
        <x:v>Low</x:v>
      </x:c>
      <x:c r="G58" s="79" t="n">
        <x:v>40</x:v>
      </x:c>
      <x:c r="H58" s="6" t="n">
        <x:v>46259</x:v>
      </x:c>
      <x:c r="I58" s="79" t="n">
        <x:v>7</x:v>
      </x:c>
      <x:c r="J58" s="6" t="n">
        <x:v>46258</x:v>
      </x:c>
      <x:c r="K58" s="79" t="n">
        <x:v>8</x:v>
      </x:c>
      <x:c r="L58" t="str"/>
      <x:c r="M58" t="str">
        <x:v>Team Lead C</x:v>
      </x:c>
      <x:c r="N58" t="str">
        <x:v>Warning</x:v>
      </x:c>
      <x:c r="O58" t="str">
        <x:v>Open activity has a stale update (&gt;7 days)</x:v>
      </x:c>
    </x:row>
    <x:row r="59">
      <x:c r="A59" t="str">
        <x:v>ACT-0181</x:v>
      </x:c>
      <x:c r="B59" t="str">
        <x:v>Project Controls</x:v>
      </x:c>
      <x:c r="C59" t="str">
        <x:v>PC-A</x:v>
      </x:c>
      <x:c r="D59" t="str">
        <x:v>KPI Update</x:v>
      </x:c>
      <x:c r="E59" t="str">
        <x:v>In Progress</x:v>
      </x:c>
      <x:c r="F59" t="str">
        <x:v>Medium</x:v>
      </x:c>
      <x:c r="G59" s="79" t="n">
        <x:v>70</x:v>
      </x:c>
      <x:c r="H59" s="6" t="n">
        <x:v>46259</x:v>
      </x:c>
      <x:c r="I59" s="79" t="n">
        <x:v>7</x:v>
      </x:c>
      <x:c r="J59" s="6" t="n">
        <x:v>46253</x:v>
      </x:c>
      <x:c r="K59" s="79" t="n">
        <x:v>13</x:v>
      </x:c>
      <x:c r="L59" t="str"/>
      <x:c r="M59" t="str">
        <x:v>Team Lead C</x:v>
      </x:c>
      <x:c r="N59" t="str">
        <x:v>Warning</x:v>
      </x:c>
      <x:c r="O59" t="str">
        <x:v>Open activity has a stale update (&gt;7 days)</x:v>
      </x:c>
    </x:row>
    <x:row r="60">
      <x:c r="A60" t="str">
        <x:v>ACT-0278</x:v>
      </x:c>
      <x:c r="B60" t="str">
        <x:v>Construction</x:v>
      </x:c>
      <x:c r="C60" t="str">
        <x:v>CONST-A</x:v>
      </x:c>
      <x:c r="D60" t="str">
        <x:v>Punch Clearance</x:v>
      </x:c>
      <x:c r="E60" t="str">
        <x:v>In Progress</x:v>
      </x:c>
      <x:c r="F60" t="str">
        <x:v>Medium</x:v>
      </x:c>
      <x:c r="G60" s="79" t="n">
        <x:v>25</x:v>
      </x:c>
      <x:c r="H60" s="6" t="n">
        <x:v>46260</x:v>
      </x:c>
      <x:c r="I60" s="79" t="n">
        <x:v>6</x:v>
      </x:c>
      <x:c r="J60" s="6" t="n">
        <x:v>46261</x:v>
      </x:c>
      <x:c r="K60" s="79" t="n">
        <x:v>5</x:v>
      </x:c>
      <x:c r="L60" t="str">
        <x:v>Access Constraint</x:v>
      </x:c>
      <x:c r="M60" t="str">
        <x:v>Team Lead B</x:v>
      </x:c>
      <x:c r="N60" t="str">
        <x:v>Warning</x:v>
      </x:c>
      <x:c r="O60" t="str">
        <x:v>Open activity overdue by 1–7 days</x:v>
      </x:c>
    </x:row>
    <x:row r="61">
      <x:c r="A61" t="str">
        <x:v>ACT-0271</x:v>
      </x:c>
      <x:c r="B61" t="str">
        <x:v>Construction</x:v>
      </x:c>
      <x:c r="C61" t="str">
        <x:v>CONST-A</x:v>
      </x:c>
      <x:c r="D61" t="str">
        <x:v>Site Preparation</x:v>
      </x:c>
      <x:c r="E61" t="str">
        <x:v>In Progress</x:v>
      </x:c>
      <x:c r="F61" t="str">
        <x:v>High</x:v>
      </x:c>
      <x:c r="G61" s="79" t="n">
        <x:v>70</x:v>
      </x:c>
      <x:c r="H61" s="6" t="n">
        <x:v>46262</x:v>
      </x:c>
      <x:c r="I61" s="79" t="n">
        <x:v>4</x:v>
      </x:c>
      <x:c r="J61" s="6" t="n">
        <x:v>46265</x:v>
      </x:c>
      <x:c r="K61" s="79" t="n">
        <x:v>1</x:v>
      </x:c>
      <x:c r="L61" t="str"/>
      <x:c r="M61" t="str">
        <x:v>Team Lead B</x:v>
      </x:c>
      <x:c r="N61" t="str">
        <x:v>Warning</x:v>
      </x:c>
      <x:c r="O61" t="str">
        <x:v>Open activity overdue by 1–7 days</x:v>
      </x:c>
    </x:row>
    <x:row r="62">
      <x:c r="A62" t="str">
        <x:v>ACT-0141</x:v>
      </x:c>
      <x:c r="B62" t="str">
        <x:v>Construction</x:v>
      </x:c>
      <x:c r="C62" t="str">
        <x:v>CONST-A</x:v>
      </x:c>
      <x:c r="D62" t="str">
        <x:v>Site Preparation</x:v>
      </x:c>
      <x:c r="E62" t="str">
        <x:v>In Progress</x:v>
      </x:c>
      <x:c r="F62" t="str">
        <x:v>Low</x:v>
      </x:c>
      <x:c r="G62" s="79" t="n">
        <x:v>50</x:v>
      </x:c>
      <x:c r="H62" s="6" t="n">
        <x:v>46264</x:v>
      </x:c>
      <x:c r="I62" s="79" t="n">
        <x:v>2</x:v>
      </x:c>
      <x:c r="J62" s="6" t="n">
        <x:v>46258</x:v>
      </x:c>
      <x:c r="K62" s="79" t="n">
        <x:v>8</x:v>
      </x:c>
      <x:c r="L62" t="str"/>
      <x:c r="M62" t="str">
        <x:v>Team Lead D</x:v>
      </x:c>
      <x:c r="N62" t="str">
        <x:v>Warning</x:v>
      </x:c>
      <x:c r="O62" t="str">
        <x:v>Open activity has a stale update (&gt;7 days)</x:v>
      </x:c>
    </x:row>
    <x:row r="63">
      <x:c r="A63" t="str">
        <x:v>ACT-0243</x:v>
      </x:c>
      <x:c r="B63" t="str">
        <x:v>Construction</x:v>
      </x:c>
      <x:c r="C63" t="str">
        <x:v>CONST-A</x:v>
      </x:c>
      <x:c r="D63" t="str">
        <x:v>Progress Update</x:v>
      </x:c>
      <x:c r="E63" t="str">
        <x:v>In Progress</x:v>
      </x:c>
      <x:c r="F63" t="str">
        <x:v>Low</x:v>
      </x:c>
      <x:c r="G63" s="79" t="n">
        <x:v>35</x:v>
      </x:c>
      <x:c r="H63" s="6" t="n">
        <x:v>46265</x:v>
      </x:c>
      <x:c r="I63" s="79" t="n">
        <x:v>1</x:v>
      </x:c>
      <x:c r="J63" s="6" t="n">
        <x:v>46259</x:v>
      </x:c>
      <x:c r="K63" s="79" t="n">
        <x:v>7</x:v>
      </x:c>
      <x:c r="L63" t="str">
        <x:v>Access Constraint</x:v>
      </x:c>
      <x:c r="M63" t="str">
        <x:v>Team Lead D</x:v>
      </x:c>
      <x:c r="N63" t="str">
        <x:v>Warning</x:v>
      </x:c>
      <x:c r="O63" t="str">
        <x:v>Open activity overdue by 1–7 days</x:v>
      </x:c>
    </x:row>
    <x:row r="64">
      <x:c r="A64" t="str">
        <x:v>ACT-0184</x:v>
      </x:c>
      <x:c r="B64" t="str">
        <x:v>Engineering</x:v>
      </x:c>
      <x:c r="C64" t="str">
        <x:v>ENG-A</x:v>
      </x:c>
      <x:c r="D64" t="str">
        <x:v>Design Update</x:v>
      </x:c>
      <x:c r="E64" t="str">
        <x:v>In Progress</x:v>
      </x:c>
      <x:c r="F64" t="str">
        <x:v>Medium</x:v>
      </x:c>
      <x:c r="G64" s="79" t="n">
        <x:v>90</x:v>
      </x:c>
      <x:c r="H64" s="6" t="n">
        <x:v>46265</x:v>
      </x:c>
      <x:c r="I64" s="79" t="n">
        <x:v>1</x:v>
      </x:c>
      <x:c r="J64" s="6" t="n">
        <x:v>46255</x:v>
      </x:c>
      <x:c r="K64" s="79" t="n">
        <x:v>11</x:v>
      </x:c>
      <x:c r="L64" t="str"/>
      <x:c r="M64" t="str">
        <x:v>Team Lead B</x:v>
      </x:c>
      <x:c r="N64" t="str">
        <x:v>Warning</x:v>
      </x:c>
      <x:c r="O64" t="str">
        <x:v>Open activity has a stale update (&gt;7 days)</x:v>
      </x:c>
    </x:row>
    <x:row r="65">
      <x:c r="A65" t="str">
        <x:v>ACT-0233</x:v>
      </x:c>
      <x:c r="B65" t="str">
        <x:v>QA/QC</x:v>
      </x:c>
      <x:c r="C65" t="str">
        <x:v>QA-B</x:v>
      </x:c>
      <x:c r="D65" t="str">
        <x:v>Test Package</x:v>
      </x:c>
      <x:c r="E65" t="str">
        <x:v>In Progress</x:v>
      </x:c>
      <x:c r="F65" t="str">
        <x:v>Medium</x:v>
      </x:c>
      <x:c r="G65" s="79" t="n">
        <x:v>35</x:v>
      </x:c>
      <x:c r="H65" s="6" t="n">
        <x:v>46265</x:v>
      </x:c>
      <x:c r="I65" s="79" t="n">
        <x:v>1</x:v>
      </x:c>
      <x:c r="J65" s="6" t="n">
        <x:v>46262</x:v>
      </x:c>
      <x:c r="K65" s="79" t="n">
        <x:v>4</x:v>
      </x:c>
      <x:c r="L65" t="str"/>
      <x:c r="M65" t="str">
        <x:v>Team Lead F</x:v>
      </x:c>
      <x:c r="N65" t="str">
        <x:v>Warning</x:v>
      </x:c>
      <x:c r="O65" t="str">
        <x:v>Open activity overdue by 1–7 days</x:v>
      </x:c>
    </x:row>
    <x:row r="66">
      <x:c r="A66" t="str">
        <x:v>ACT-0212</x:v>
      </x:c>
      <x:c r="B66" t="str">
        <x:v>Procurement</x:v>
      </x:c>
      <x:c r="C66" t="str">
        <x:v>PROC-A</x:v>
      </x:c>
      <x:c r="D66" t="str">
        <x:v>Material Status Update</x:v>
      </x:c>
      <x:c r="E66" t="str">
        <x:v>In Progress</x:v>
      </x:c>
      <x:c r="F66" t="str">
        <x:v>High</x:v>
      </x:c>
      <x:c r="G66" s="79" t="n">
        <x:v>60</x:v>
      </x:c>
      <x:c r="H66" s="6" t="n">
        <x:v>46276</x:v>
      </x:c>
      <x:c r="I66" s="79" t="n">
        <x:v>0</x:v>
      </x:c>
      <x:c r="J66" s="6" t="n">
        <x:v>46256</x:v>
      </x:c>
      <x:c r="K66" s="79" t="n">
        <x:v>10</x:v>
      </x:c>
      <x:c r="L66" t="str">
        <x:v>Rework</x:v>
      </x:c>
      <x:c r="M66" t="str">
        <x:v>Team Lead E</x:v>
      </x:c>
      <x:c r="N66" t="str">
        <x:v>Warning</x:v>
      </x:c>
      <x:c r="O66" t="str">
        <x:v>Open activity has a stale update (&gt;7 days)</x:v>
      </x:c>
    </x:row>
    <x:row r="67">
      <x:c r="A67" t="str">
        <x:v>ACT-0283</x:v>
      </x:c>
      <x:c r="B67" t="str">
        <x:v>Engineering</x:v>
      </x:c>
      <x:c r="C67" t="str">
        <x:v>ENG-A</x:v>
      </x:c>
      <x:c r="D67" t="str">
        <x:v>Technical Query</x:v>
      </x:c>
      <x:c r="E67" t="str">
        <x:v>In Progress</x:v>
      </x:c>
      <x:c r="F67" t="str">
        <x:v>High</x:v>
      </x:c>
      <x:c r="G67" s="79" t="n">
        <x:v>25</x:v>
      </x:c>
      <x:c r="H67" s="6" t="n">
        <x:v>46285</x:v>
      </x:c>
      <x:c r="I67" s="79" t="n">
        <x:v>0</x:v>
      </x:c>
      <x:c r="J67" s="6" t="n">
        <x:v>46255</x:v>
      </x:c>
      <x:c r="K67" s="79" t="n">
        <x:v>11</x:v>
      </x:c>
      <x:c r="L67" t="str"/>
      <x:c r="M67" t="str">
        <x:v>Team Lead A</x:v>
      </x:c>
      <x:c r="N67" t="str">
        <x:v>Warning</x:v>
      </x:c>
      <x:c r="O67" t="str">
        <x:v>Open activity has a stale update (&gt;7 days)</x:v>
      </x:c>
    </x:row>
    <x:row r="68">
      <x:c r="A68" t="str">
        <x:v>ACT-0029</x:v>
      </x:c>
      <x:c r="B68" t="str">
        <x:v>QA/QC</x:v>
      </x:c>
      <x:c r="C68" t="str">
        <x:v>QA-A</x:v>
      </x:c>
      <x:c r="D68" t="str">
        <x:v>Quality Review</x:v>
      </x:c>
      <x:c r="E68" t="str">
        <x:v>In Progress</x:v>
      </x:c>
      <x:c r="F68" t="str">
        <x:v>Low</x:v>
      </x:c>
      <x:c r="G68" s="79" t="n">
        <x:v>95</x:v>
      </x:c>
      <x:c r="H68" s="6" t="n">
        <x:v>46268</x:v>
      </x:c>
      <x:c r="I68" s="79" t="n">
        <x:v>0</x:v>
      </x:c>
      <x:c r="J68" s="6" t="n">
        <x:v>46256</x:v>
      </x:c>
      <x:c r="K68" s="79" t="n">
        <x:v>10</x:v>
      </x:c>
      <x:c r="L68" t="str">
        <x:v>Material Delay</x:v>
      </x:c>
      <x:c r="M68" t="str">
        <x:v>Team Lead F</x:v>
      </x:c>
      <x:c r="N68" t="str">
        <x:v>Warning</x:v>
      </x:c>
      <x:c r="O68" t="str">
        <x:v>Open activity has a stale update (&gt;7 days)</x:v>
      </x:c>
    </x:row>
    <x:row r="69">
      <x:c r="A69" t="str">
        <x:v>ACT-0033</x:v>
      </x:c>
      <x:c r="B69" t="str">
        <x:v>Construction</x:v>
      </x:c>
      <x:c r="C69" t="str">
        <x:v>CONST-A</x:v>
      </x:c>
      <x:c r="D69" t="str">
        <x:v>Field Installation</x:v>
      </x:c>
      <x:c r="E69" t="str">
        <x:v>In Progress</x:v>
      </x:c>
      <x:c r="F69" t="str">
        <x:v>Low</x:v>
      </x:c>
      <x:c r="G69" s="79" t="n">
        <x:v>80</x:v>
      </x:c>
      <x:c r="H69" s="6" t="n">
        <x:v>46269</x:v>
      </x:c>
      <x:c r="I69" s="79" t="n">
        <x:v>0</x:v>
      </x:c>
      <x:c r="J69" s="6" t="n">
        <x:v>46258</x:v>
      </x:c>
      <x:c r="K69" s="79" t="n">
        <x:v>8</x:v>
      </x:c>
      <x:c r="L69" t="str"/>
      <x:c r="M69" t="str">
        <x:v>Team Lead B</x:v>
      </x:c>
      <x:c r="N69" t="str">
        <x:v>Warning</x:v>
      </x:c>
      <x:c r="O69" t="str">
        <x:v>Open activity has a stale update (&gt;7 days)</x:v>
      </x:c>
    </x:row>
    <x:row r="70">
      <x:c r="A70" t="str">
        <x:v>ACT-0163</x:v>
      </x:c>
      <x:c r="B70" t="str">
        <x:v>Procurement</x:v>
      </x:c>
      <x:c r="C70" t="str">
        <x:v>PROC-A</x:v>
      </x:c>
      <x:c r="D70" t="str">
        <x:v>Material Delivery</x:v>
      </x:c>
      <x:c r="E70" t="str">
        <x:v>Not Started</x:v>
      </x:c>
      <x:c r="F70" t="str">
        <x:v>Low</x:v>
      </x:c>
      <x:c r="G70" s="79" t="n">
        <x:v>0</x:v>
      </x:c>
      <x:c r="H70" s="6" t="n">
        <x:v>46282</x:v>
      </x:c>
      <x:c r="I70" s="79" t="n">
        <x:v>0</x:v>
      </x:c>
      <x:c r="J70" s="6" t="n">
        <x:v>46252</x:v>
      </x:c>
      <x:c r="K70" s="79" t="n">
        <x:v>14</x:v>
      </x:c>
      <x:c r="L70" t="str">
        <x:v>Rework</x:v>
      </x:c>
      <x:c r="M70" t="str">
        <x:v>Team Lead E</x:v>
      </x:c>
      <x:c r="N70" t="str">
        <x:v>Warning</x:v>
      </x:c>
      <x:c r="O70" t="str">
        <x:v>Open activity has a stale update (&gt;7 days)</x:v>
      </x:c>
    </x:row>
    <x:row r="71">
      <x:c r="A71" t="str">
        <x:v>ACT-0196</x:v>
      </x:c>
      <x:c r="B71" t="str">
        <x:v>Construction</x:v>
      </x:c>
      <x:c r="C71" t="str">
        <x:v>CONST-A</x:v>
      </x:c>
      <x:c r="D71" t="str">
        <x:v>Punch Clearance</x:v>
      </x:c>
      <x:c r="E71" t="str">
        <x:v>Not Started</x:v>
      </x:c>
      <x:c r="F71" t="str">
        <x:v>Low</x:v>
      </x:c>
      <x:c r="G71" s="79" t="n">
        <x:v>10</x:v>
      </x:c>
      <x:c r="H71" s="6" t="n">
        <x:v>46275</x:v>
      </x:c>
      <x:c r="I71" s="79" t="n">
        <x:v>0</x:v>
      </x:c>
      <x:c r="J71" s="6" t="n">
        <x:v>46253</x:v>
      </x:c>
      <x:c r="K71" s="79" t="n">
        <x:v>13</x:v>
      </x:c>
      <x:c r="L71" t="str"/>
      <x:c r="M71" t="str">
        <x:v>Team Lead F</x:v>
      </x:c>
      <x:c r="N71" t="str">
        <x:v>Warning</x:v>
      </x:c>
      <x:c r="O71" t="str">
        <x:v>Open activity has a stale update (&gt;7 days)</x:v>
      </x:c>
    </x:row>
    <x:row r="72">
      <x:c r="A72" t="str">
        <x:v>ACT-0200</x:v>
      </x:c>
      <x:c r="B72" t="str">
        <x:v>Procurement</x:v>
      </x:c>
      <x:c r="C72" t="str">
        <x:v>PROC-A</x:v>
      </x:c>
      <x:c r="D72" t="str">
        <x:v>Vendor Follow-up</x:v>
      </x:c>
      <x:c r="E72" t="str">
        <x:v>Not Started</x:v>
      </x:c>
      <x:c r="F72" t="str">
        <x:v>Low</x:v>
      </x:c>
      <x:c r="G72" s="79" t="n">
        <x:v>0</x:v>
      </x:c>
      <x:c r="H72" s="6" t="n">
        <x:v>46283</x:v>
      </x:c>
      <x:c r="I72" s="79" t="n">
        <x:v>0</x:v>
      </x:c>
      <x:c r="J72" s="6" t="n">
        <x:v>46256</x:v>
      </x:c>
      <x:c r="K72" s="79" t="n">
        <x:v>10</x:v>
      </x:c>
      <x:c r="L72" t="str">
        <x:v>Rework</x:v>
      </x:c>
      <x:c r="M72" t="str">
        <x:v>Team Lead E</x:v>
      </x:c>
      <x:c r="N72" t="str">
        <x:v>Warning</x:v>
      </x:c>
      <x:c r="O72" t="str">
        <x:v>Open activity has a stale update (&gt;7 days)</x:v>
      </x:c>
    </x:row>
    <x:row r="73">
      <x:c r="A73" t="str">
        <x:v>ACT-0230</x:v>
      </x:c>
      <x:c r="B73" t="str">
        <x:v>Engineering</x:v>
      </x:c>
      <x:c r="C73" t="str">
        <x:v>ENG-A</x:v>
      </x:c>
      <x:c r="D73" t="str">
        <x:v>Design Update</x:v>
      </x:c>
      <x:c r="E73" t="str">
        <x:v>In Progress</x:v>
      </x:c>
      <x:c r="F73" t="str">
        <x:v>Low</x:v>
      </x:c>
      <x:c r="G73" s="79" t="n">
        <x:v>40</x:v>
      </x:c>
      <x:c r="H73" s="6" t="n">
        <x:v>46280</x:v>
      </x:c>
      <x:c r="I73" s="79" t="n">
        <x:v>0</x:v>
      </x:c>
      <x:c r="J73" s="6" t="n">
        <x:v>46254</x:v>
      </x:c>
      <x:c r="K73" s="79" t="n">
        <x:v>12</x:v>
      </x:c>
      <x:c r="L73" t="str">
        <x:v>Access Constraint</x:v>
      </x:c>
      <x:c r="M73" t="str">
        <x:v>Team Lead F</x:v>
      </x:c>
      <x:c r="N73" t="str">
        <x:v>Warning</x:v>
      </x:c>
      <x:c r="O73" t="str">
        <x:v>Open activity has a stale update (&gt;7 days)</x:v>
      </x:c>
    </x:row>
    <x:row r="74">
      <x:c r="A74" t="str">
        <x:v>ACT-0249</x:v>
      </x:c>
      <x:c r="B74" t="str">
        <x:v>Engineering</x:v>
      </x:c>
      <x:c r="C74" t="str">
        <x:v>ENG-B</x:v>
      </x:c>
      <x:c r="D74" t="str">
        <x:v>Drawing Review</x:v>
      </x:c>
      <x:c r="E74" t="str">
        <x:v>In Progress</x:v>
      </x:c>
      <x:c r="F74" t="str">
        <x:v>Low</x:v>
      </x:c>
      <x:c r="G74" s="79" t="n">
        <x:v>50</x:v>
      </x:c>
      <x:c r="H74" s="6" t="n">
        <x:v>46288</x:v>
      </x:c>
      <x:c r="I74" s="79" t="n">
        <x:v>0</x:v>
      </x:c>
      <x:c r="J74" s="6" t="n">
        <x:v>46258</x:v>
      </x:c>
      <x:c r="K74" s="79" t="n">
        <x:v>8</x:v>
      </x:c>
      <x:c r="L74" t="str"/>
      <x:c r="M74" t="str">
        <x:v>Team Lead B</x:v>
      </x:c>
      <x:c r="N74" t="str">
        <x:v>Warning</x:v>
      </x:c>
      <x:c r="O74" t="str">
        <x:v>Open activity has a stale update (&gt;7 days)</x:v>
      </x:c>
    </x:row>
    <x:row r="75">
      <x:c r="A75" t="str">
        <x:v>ACT-0264</x:v>
      </x:c>
      <x:c r="B75" t="str">
        <x:v>Procurement</x:v>
      </x:c>
      <x:c r="C75" t="str">
        <x:v>PROC-A</x:v>
      </x:c>
      <x:c r="D75" t="str">
        <x:v>Material Delivery</x:v>
      </x:c>
      <x:c r="E75" t="str">
        <x:v>Not Started</x:v>
      </x:c>
      <x:c r="F75" t="str">
        <x:v>Low</x:v>
      </x:c>
      <x:c r="G75" s="79" t="n">
        <x:v>5</x:v>
      </x:c>
      <x:c r="H75" s="6" t="n">
        <x:v>46278</x:v>
      </x:c>
      <x:c r="I75" s="79" t="n">
        <x:v>0</x:v>
      </x:c>
      <x:c r="J75" s="6" t="n">
        <x:v>46248</x:v>
      </x:c>
      <x:c r="K75" s="79" t="n">
        <x:v>18</x:v>
      </x:c>
      <x:c r="L75" t="str"/>
      <x:c r="M75" t="str">
        <x:v>Team Lead F</x:v>
      </x:c>
      <x:c r="N75" t="str">
        <x:v>Warning</x:v>
      </x:c>
      <x:c r="O75" t="str">
        <x:v>Open activity has a stale update (&gt;7 days)</x:v>
      </x:c>
    </x:row>
    <x:row r="76">
      <x:c r="A76" t="str">
        <x:v>ACT-0291</x:v>
      </x:c>
      <x:c r="B76" t="str">
        <x:v>Construction</x:v>
      </x:c>
      <x:c r="C76" t="str">
        <x:v>CONST-B</x:v>
      </x:c>
      <x:c r="D76" t="str">
        <x:v>Progress Update</x:v>
      </x:c>
      <x:c r="E76" t="str">
        <x:v>Not Started</x:v>
      </x:c>
      <x:c r="F76" t="str">
        <x:v>Low</x:v>
      </x:c>
      <x:c r="G76" s="79" t="n">
        <x:v>10</x:v>
      </x:c>
      <x:c r="H76" s="6" t="n">
        <x:v>46267</x:v>
      </x:c>
      <x:c r="I76" s="79" t="n">
        <x:v>0</x:v>
      </x:c>
      <x:c r="J76" s="6" t="n">
        <x:v>46256</x:v>
      </x:c>
      <x:c r="K76" s="79" t="n">
        <x:v>10</x:v>
      </x:c>
      <x:c r="L76" t="str"/>
      <x:c r="M76" t="str">
        <x:v>Team Lead D</x:v>
      </x:c>
      <x:c r="N76" t="str">
        <x:v>Warning</x:v>
      </x:c>
      <x:c r="O76" t="str">
        <x:v>Open activity has a stale update (&gt;7 days)</x:v>
      </x:c>
    </x:row>
    <x:row r="77">
      <x:c r="A77" t="str">
        <x:v>ACT-0027</x:v>
      </x:c>
      <x:c r="B77" t="str">
        <x:v>Engineering</x:v>
      </x:c>
      <x:c r="C77" t="str">
        <x:v>ENG-B</x:v>
      </x:c>
      <x:c r="D77" t="str">
        <x:v>RFI Closure</x:v>
      </x:c>
      <x:c r="E77" t="str">
        <x:v>In Progress</x:v>
      </x:c>
      <x:c r="F77" t="str">
        <x:v>Medium</x:v>
      </x:c>
      <x:c r="G77" s="79" t="n">
        <x:v>95</x:v>
      </x:c>
      <x:c r="H77" s="6" t="n">
        <x:v>46282</x:v>
      </x:c>
      <x:c r="I77" s="79" t="n">
        <x:v>0</x:v>
      </x:c>
      <x:c r="J77" s="6" t="n">
        <x:v>46252</x:v>
      </x:c>
      <x:c r="K77" s="79" t="n">
        <x:v>14</x:v>
      </x:c>
      <x:c r="L77" t="str"/>
      <x:c r="M77" t="str">
        <x:v>Team Lead D</x:v>
      </x:c>
      <x:c r="N77" t="str">
        <x:v>Warning</x:v>
      </x:c>
      <x:c r="O77" t="str">
        <x:v>Open activity has a stale update (&gt;7 days)</x:v>
      </x:c>
    </x:row>
    <x:row r="78">
      <x:c r="A78" t="str">
        <x:v>ACT-0114</x:v>
      </x:c>
      <x:c r="B78" t="str">
        <x:v>QA/QC</x:v>
      </x:c>
      <x:c r="C78" t="str">
        <x:v>QA-B</x:v>
      </x:c>
      <x:c r="D78" t="str">
        <x:v>Test Package</x:v>
      </x:c>
      <x:c r="E78" t="str">
        <x:v>Not Started</x:v>
      </x:c>
      <x:c r="F78" t="str">
        <x:v>Medium</x:v>
      </x:c>
      <x:c r="G78" s="79" t="n">
        <x:v>10</x:v>
      </x:c>
      <x:c r="H78" s="6" t="n">
        <x:v>46269</x:v>
      </x:c>
      <x:c r="I78" s="79" t="n">
        <x:v>0</x:v>
      </x:c>
      <x:c r="J78" s="6" t="n">
        <x:v>46257</x:v>
      </x:c>
      <x:c r="K78" s="79" t="n">
        <x:v>9</x:v>
      </x:c>
      <x:c r="L78" t="str">
        <x:v>Material Delay</x:v>
      </x:c>
      <x:c r="M78" t="str">
        <x:v>Team Lead B</x:v>
      </x:c>
      <x:c r="N78" t="str">
        <x:v>Warning</x:v>
      </x:c>
      <x:c r="O78" t="str">
        <x:v>Open activity has a stale update (&gt;7 days)</x:v>
      </x:c>
    </x:row>
    <x:row r="79">
      <x:c r="A79" t="str">
        <x:v>ACT-0119</x:v>
      </x:c>
      <x:c r="B79" t="str">
        <x:v>Construction</x:v>
      </x:c>
      <x:c r="C79" t="str">
        <x:v>CONST-B</x:v>
      </x:c>
      <x:c r="D79" t="str">
        <x:v>Field Installation</x:v>
      </x:c>
      <x:c r="E79" t="str">
        <x:v>Not Started</x:v>
      </x:c>
      <x:c r="F79" t="str">
        <x:v>Medium</x:v>
      </x:c>
      <x:c r="G79" s="79" t="n">
        <x:v>0</x:v>
      </x:c>
      <x:c r="H79" s="6" t="n">
        <x:v>46275</x:v>
      </x:c>
      <x:c r="I79" s="79" t="n">
        <x:v>0</x:v>
      </x:c>
      <x:c r="J79" s="6" t="n">
        <x:v>46255</x:v>
      </x:c>
      <x:c r="K79" s="79" t="n">
        <x:v>11</x:v>
      </x:c>
      <x:c r="L79" t="str">
        <x:v>Rework</x:v>
      </x:c>
      <x:c r="M79" t="str">
        <x:v>Team Lead C</x:v>
      </x:c>
      <x:c r="N79" t="str">
        <x:v>Warning</x:v>
      </x:c>
      <x:c r="O79" t="str">
        <x:v>Open activity has a stale update (&gt;7 days)</x:v>
      </x:c>
    </x:row>
    <x:row r="80">
      <x:c r="A80" t="str">
        <x:v>ACT-0125</x:v>
      </x:c>
      <x:c r="B80" t="str">
        <x:v>QA/QC</x:v>
      </x:c>
      <x:c r="C80" t="str">
        <x:v>QA-A</x:v>
      </x:c>
      <x:c r="D80" t="str">
        <x:v>Quality Review</x:v>
      </x:c>
      <x:c r="E80" t="str">
        <x:v>In Progress</x:v>
      </x:c>
      <x:c r="F80" t="str">
        <x:v>Medium</x:v>
      </x:c>
      <x:c r="G80" s="79" t="n">
        <x:v>85</x:v>
      </x:c>
      <x:c r="H80" s="6" t="n">
        <x:v>46267</x:v>
      </x:c>
      <x:c r="I80" s="79" t="n">
        <x:v>0</x:v>
      </x:c>
      <x:c r="J80" s="6" t="n">
        <x:v>46254</x:v>
      </x:c>
      <x:c r="K80" s="79" t="n">
        <x:v>12</x:v>
      </x:c>
      <x:c r="L80" t="str">
        <x:v>Approval Delay</x:v>
      </x:c>
      <x:c r="M80" t="str">
        <x:v>Team Lead D</x:v>
      </x:c>
      <x:c r="N80" t="str">
        <x:v>Warning</x:v>
      </x:c>
      <x:c r="O80" t="str">
        <x:v>Open activity has a stale update (&gt;7 days)</x:v>
      </x:c>
    </x:row>
    <x:row r="81">
      <x:c r="A81" t="str">
        <x:v>ACT-0137</x:v>
      </x:c>
      <x:c r="B81" t="str">
        <x:v>Procurement</x:v>
      </x:c>
      <x:c r="C81" t="str">
        <x:v>PROC-A</x:v>
      </x:c>
      <x:c r="D81" t="str">
        <x:v>Material Delivery</x:v>
      </x:c>
      <x:c r="E81" t="str">
        <x:v>Not Started</x:v>
      </x:c>
      <x:c r="F81" t="str">
        <x:v>Medium</x:v>
      </x:c>
      <x:c r="G81" s="79" t="n">
        <x:v>5</x:v>
      </x:c>
      <x:c r="H81" s="6" t="n">
        <x:v>46275</x:v>
      </x:c>
      <x:c r="I81" s="79" t="n">
        <x:v>0</x:v>
      </x:c>
      <x:c r="J81" s="6" t="n">
        <x:v>46253</x:v>
      </x:c>
      <x:c r="K81" s="79" t="n">
        <x:v>13</x:v>
      </x:c>
      <x:c r="L81" t="str">
        <x:v>Documentation</x:v>
      </x:c>
      <x:c r="M81" t="str">
        <x:v>Team Lead F</x:v>
      </x:c>
      <x:c r="N81" t="str">
        <x:v>Warning</x:v>
      </x:c>
      <x:c r="O81" t="str">
        <x:v>Open activity has a stale update (&gt;7 days)</x:v>
      </x:c>
    </x:row>
    <x:row r="82">
      <x:c r="A82" t="str">
        <x:v>ACT-0142</x:v>
      </x:c>
      <x:c r="B82" t="str">
        <x:v>Procurement</x:v>
      </x:c>
      <x:c r="C82" t="str">
        <x:v>PROC-A</x:v>
      </x:c>
      <x:c r="D82" t="str">
        <x:v>Vendor Follow-up</x:v>
      </x:c>
      <x:c r="E82" t="str">
        <x:v>Not Started</x:v>
      </x:c>
      <x:c r="F82" t="str">
        <x:v>Medium</x:v>
      </x:c>
      <x:c r="G82" s="79" t="n">
        <x:v>0</x:v>
      </x:c>
      <x:c r="H82" s="6" t="n">
        <x:v>46281</x:v>
      </x:c>
      <x:c r="I82" s="79" t="n">
        <x:v>0</x:v>
      </x:c>
      <x:c r="J82" s="6" t="n">
        <x:v>46251</x:v>
      </x:c>
      <x:c r="K82" s="79" t="n">
        <x:v>15</x:v>
      </x:c>
      <x:c r="L82" t="str">
        <x:v>Material Delay</x:v>
      </x:c>
      <x:c r="M82" t="str">
        <x:v>Team Lead D</x:v>
      </x:c>
      <x:c r="N82" t="str">
        <x:v>Warning</x:v>
      </x:c>
      <x:c r="O82" t="str">
        <x:v>Open activity has a stale update (&gt;7 days)</x:v>
      </x:c>
    </x:row>
    <x:row r="83">
      <x:c r="A83" t="str">
        <x:v>ACT-0164</x:v>
      </x:c>
      <x:c r="B83" t="str">
        <x:v>Construction</x:v>
      </x:c>
      <x:c r="C83" t="str">
        <x:v>CONST-B</x:v>
      </x:c>
      <x:c r="D83" t="str">
        <x:v>Punch Clearance</x:v>
      </x:c>
      <x:c r="E83" t="str">
        <x:v>Not Started</x:v>
      </x:c>
      <x:c r="F83" t="str">
        <x:v>Medium</x:v>
      </x:c>
      <x:c r="G83" s="79" t="n">
        <x:v>0</x:v>
      </x:c>
      <x:c r="H83" s="6" t="n">
        <x:v>46290</x:v>
      </x:c>
      <x:c r="I83" s="79" t="n">
        <x:v>0</x:v>
      </x:c>
      <x:c r="J83" s="6" t="n">
        <x:v>46256</x:v>
      </x:c>
      <x:c r="K83" s="79" t="n">
        <x:v>10</x:v>
      </x:c>
      <x:c r="L83" t="str"/>
      <x:c r="M83" t="str">
        <x:v>Team Lead B</x:v>
      </x:c>
      <x:c r="N83" t="str">
        <x:v>Warning</x:v>
      </x:c>
      <x:c r="O83" t="str">
        <x:v>Open activity has a stale update (&gt;7 days)</x:v>
      </x:c>
    </x:row>
    <x:row r="84">
      <x:c r="A84" t="str">
        <x:v>ACT-0192</x:v>
      </x:c>
      <x:c r="B84" t="str">
        <x:v>QA/QC</x:v>
      </x:c>
      <x:c r="C84" t="str">
        <x:v>QA-A</x:v>
      </x:c>
      <x:c r="D84" t="str">
        <x:v>Test Package</x:v>
      </x:c>
      <x:c r="E84" t="str">
        <x:v>In Progress</x:v>
      </x:c>
      <x:c r="F84" t="str">
        <x:v>Medium</x:v>
      </x:c>
      <x:c r="G84" s="79" t="n">
        <x:v>25</x:v>
      </x:c>
      <x:c r="H84" s="6" t="n">
        <x:v>46278</x:v>
      </x:c>
      <x:c r="I84" s="79" t="n">
        <x:v>0</x:v>
      </x:c>
      <x:c r="J84" s="6" t="n">
        <x:v>46252</x:v>
      </x:c>
      <x:c r="K84" s="79" t="n">
        <x:v>14</x:v>
      </x:c>
      <x:c r="L84" t="str">
        <x:v>Access Constraint</x:v>
      </x:c>
      <x:c r="M84" t="str">
        <x:v>Team Lead D</x:v>
      </x:c>
      <x:c r="N84" t="str">
        <x:v>Warning</x:v>
      </x:c>
      <x:c r="O84" t="str">
        <x:v>Open activity has a stale update (&gt;7 days)</x:v>
      </x:c>
    </x:row>
    <x:row r="85">
      <x:c r="A85" t="str">
        <x:v>ACT-0232</x:v>
      </x:c>
      <x:c r="B85" t="str">
        <x:v>Procurement</x:v>
      </x:c>
      <x:c r="C85" t="str">
        <x:v>PROC-A</x:v>
      </x:c>
      <x:c r="D85" t="str">
        <x:v>Material Delivery</x:v>
      </x:c>
      <x:c r="E85" t="str">
        <x:v>Not Started</x:v>
      </x:c>
      <x:c r="F85" t="str">
        <x:v>Medium</x:v>
      </x:c>
      <x:c r="G85" s="79" t="n">
        <x:v>0</x:v>
      </x:c>
      <x:c r="H85" s="6" t="n">
        <x:v>46266</x:v>
      </x:c>
      <x:c r="I85" s="79" t="n">
        <x:v>0</x:v>
      </x:c>
      <x:c r="J85" s="6" t="n">
        <x:v>46252</x:v>
      </x:c>
      <x:c r="K85" s="79" t="n">
        <x:v>14</x:v>
      </x:c>
      <x:c r="L85" t="str">
        <x:v>Material Delay</x:v>
      </x:c>
      <x:c r="M85" t="str">
        <x:v>Team Lead D</x:v>
      </x:c>
      <x:c r="N85" t="str">
        <x:v>Warning</x:v>
      </x:c>
      <x:c r="O85" t="str">
        <x:v>Open activity has a stale update (&gt;7 days)</x:v>
      </x:c>
    </x:row>
    <x:row r="86">
      <x:c r="A86" t="str">
        <x:v>ACT-0239</x:v>
      </x:c>
      <x:c r="B86" t="str">
        <x:v>QA/QC</x:v>
      </x:c>
      <x:c r="C86" t="str">
        <x:v>QA-B</x:v>
      </x:c>
      <x:c r="D86" t="str">
        <x:v>Punch Clearance</x:v>
      </x:c>
      <x:c r="E86" t="str">
        <x:v>Not Started</x:v>
      </x:c>
      <x:c r="F86" t="str">
        <x:v>Medium</x:v>
      </x:c>
      <x:c r="G86" s="79" t="n">
        <x:v>0</x:v>
      </x:c>
      <x:c r="H86" s="6" t="n">
        <x:v>46268</x:v>
      </x:c>
      <x:c r="I86" s="79" t="n">
        <x:v>0</x:v>
      </x:c>
      <x:c r="J86" s="6" t="n">
        <x:v>46250</x:v>
      </x:c>
      <x:c r="K86" s="79" t="n">
        <x:v>16</x:v>
      </x:c>
      <x:c r="L86" t="str">
        <x:v>Documentation</x:v>
      </x:c>
      <x:c r="M86" t="str">
        <x:v>Team Lead F</x:v>
      </x:c>
      <x:c r="N86" t="str">
        <x:v>Warning</x:v>
      </x:c>
      <x:c r="O86" t="str">
        <x:v>Open activity has a stale update (&gt;7 days)</x:v>
      </x:c>
    </x:row>
  </x:sheetData>
  <x:mergeCells>
    <x:mergeCell ref="A1:O1"/>
    <x:mergeCell ref="A2:O2"/>
  </x:mergeCells>
  <x:conditionalFormatting sqref="N5:N86">
    <x:cfRule type="containsText" dxfId="2" priority="1" operator="containsText" text="Critical"/>
    <x:cfRule type="containsText" dxfId="3" priority="2" operator="containsText" text="Warning"/>
  </x:conditionalFormatting>
  <x:pageMargins left="0.7" right="0.7" top="0.75" bottom="0.75" header="0.3" footer="0.3"/>
  <x:tableParts count="1">
    <x:tablePart xmlns:r="http://schemas.openxmlformats.org/officeDocument/2006/relationships" r:id="R02c61eece7b24701"/>
  </x:tableParts>
</x:worksheet>
</file>